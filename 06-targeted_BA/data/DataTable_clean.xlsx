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ulin/Downloads/"/>
    </mc:Choice>
  </mc:AlternateContent>
  <xr:revisionPtr revIDLastSave="0" documentId="13_ncr:1_{7F4A2A54-98AA-2E4D-9311-D50877C26554}" xr6:coauthVersionLast="47" xr6:coauthVersionMax="47" xr10:uidLastSave="{00000000-0000-0000-0000-000000000000}"/>
  <bookViews>
    <workbookView xWindow="0" yWindow="500" windowWidth="28800" windowHeight="15720" tabRatio="714" xr2:uid="{00000000-000D-0000-FFFF-FFFF00000000}"/>
  </bookViews>
  <sheets>
    <sheet name="Table S11 BA Valu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7" l="1"/>
  <c r="AC5" i="7"/>
  <c r="AD4" i="7"/>
  <c r="AC4" i="7"/>
  <c r="AC3" i="7"/>
  <c r="AD2" i="7"/>
  <c r="AC2" i="7"/>
  <c r="AD11" i="7" l="1"/>
  <c r="AC11" i="7"/>
  <c r="AC65" i="7"/>
  <c r="AC63" i="7"/>
  <c r="AC64" i="7"/>
  <c r="AC56" i="7"/>
  <c r="AD65" i="7"/>
  <c r="AD64" i="7"/>
  <c r="AD63" i="7"/>
  <c r="AD62" i="7"/>
  <c r="AC62" i="7"/>
  <c r="AD56" i="7"/>
  <c r="AD55" i="7"/>
  <c r="AC55" i="7"/>
  <c r="AD54" i="7"/>
  <c r="AC54" i="7"/>
  <c r="AD52" i="7"/>
  <c r="AC52" i="7"/>
  <c r="AD50" i="7"/>
  <c r="AC50" i="7"/>
  <c r="AD49" i="7"/>
  <c r="AC49" i="7"/>
  <c r="AD23" i="7"/>
  <c r="AC23" i="7"/>
  <c r="AD22" i="7"/>
  <c r="AC22" i="7"/>
  <c r="AD21" i="7"/>
  <c r="AC21" i="7"/>
  <c r="AD20" i="7"/>
  <c r="AC20" i="7"/>
  <c r="AD19" i="7"/>
  <c r="AC19" i="7"/>
  <c r="AD18" i="7"/>
  <c r="AC18" i="7"/>
  <c r="AD17" i="7"/>
  <c r="AC17" i="7"/>
  <c r="AD16" i="7"/>
  <c r="AC16" i="7"/>
  <c r="AD15" i="7"/>
  <c r="AC15" i="7"/>
  <c r="AD13" i="7"/>
  <c r="AC13" i="7"/>
  <c r="AD12" i="7"/>
  <c r="AC12" i="7"/>
  <c r="AD10" i="7"/>
  <c r="AC10" i="7"/>
  <c r="AB48" i="7" l="1"/>
  <c r="AA48" i="7"/>
  <c r="U48" i="7"/>
  <c r="Q48" i="7"/>
  <c r="N48" i="7"/>
  <c r="L48" i="7"/>
  <c r="AB34" i="7"/>
  <c r="V34" i="7"/>
  <c r="Q34" i="7"/>
  <c r="O34" i="7"/>
  <c r="N34" i="7"/>
  <c r="AC48" i="7" l="1"/>
  <c r="AD48" i="7"/>
  <c r="AC34" i="7"/>
  <c r="AD34" i="7"/>
  <c r="AD51" i="7"/>
  <c r="AC51" i="7"/>
</calcChain>
</file>

<file path=xl/sharedStrings.xml><?xml version="1.0" encoding="utf-8"?>
<sst xmlns="http://schemas.openxmlformats.org/spreadsheetml/2006/main" count="1144" uniqueCount="260">
  <si>
    <t>Index</t>
  </si>
  <si>
    <t>Compounds</t>
  </si>
  <si>
    <t>Class</t>
  </si>
  <si>
    <t>Q1 (Da)</t>
  </si>
  <si>
    <t>Q3 (Da)</t>
  </si>
  <si>
    <t>Molecular Weight</t>
  </si>
  <si>
    <t>Ion mode</t>
  </si>
  <si>
    <t>Ionization model</t>
  </si>
  <si>
    <t>Formula</t>
  </si>
  <si>
    <t>3-oxo-DCA</t>
  </si>
  <si>
    <t>3-oxodeoxycholic acid</t>
  </si>
  <si>
    <t>BAs</t>
  </si>
  <si>
    <t>389.3</t>
  </si>
  <si>
    <t>390.277008</t>
  </si>
  <si>
    <t>Negative</t>
  </si>
  <si>
    <t>[M-H]-</t>
  </si>
  <si>
    <t>C24H38O4</t>
  </si>
  <si>
    <t>7-KDCA</t>
  </si>
  <si>
    <t>7-Ketodeoxycholic acid</t>
  </si>
  <si>
    <t>405.3</t>
  </si>
  <si>
    <t>406.271912</t>
  </si>
  <si>
    <t>C24H38O5</t>
  </si>
  <si>
    <t>N/A</t>
  </si>
  <si>
    <t>7-KLCA</t>
  </si>
  <si>
    <t>7-ketolithocholic acid</t>
  </si>
  <si>
    <t>IDCA</t>
  </si>
  <si>
    <t>Isodeoxycholic acid</t>
  </si>
  <si>
    <t>391.3</t>
  </si>
  <si>
    <t>345.3</t>
  </si>
  <si>
    <t>392.292664</t>
  </si>
  <si>
    <t>C24H40O4</t>
  </si>
  <si>
    <t>alloLCA</t>
  </si>
  <si>
    <t>5α-CHOLANIC ACID-3α-OL</t>
  </si>
  <si>
    <t>375.298</t>
  </si>
  <si>
    <t>376.297745</t>
  </si>
  <si>
    <t>C24H40O3</t>
  </si>
  <si>
    <t>βGCA</t>
  </si>
  <si>
    <t>3β-Glycocholic Acid</t>
  </si>
  <si>
    <t>464.309</t>
  </si>
  <si>
    <t>465.309039</t>
  </si>
  <si>
    <t>C26H43NO6</t>
  </si>
  <si>
    <t>HCA</t>
  </si>
  <si>
    <t>hyocholic acid</t>
  </si>
  <si>
    <t>407.4</t>
  </si>
  <si>
    <t>408.287567</t>
  </si>
  <si>
    <t>C24H40O5</t>
  </si>
  <si>
    <t>NCA</t>
  </si>
  <si>
    <t>norcholic acid</t>
  </si>
  <si>
    <t>393.3</t>
  </si>
  <si>
    <t>329.4</t>
  </si>
  <si>
    <t>394.271912</t>
  </si>
  <si>
    <t>C23H38O5</t>
  </si>
  <si>
    <t>6,7-DKLCA</t>
  </si>
  <si>
    <t>6,7-diketolithocholic acid</t>
  </si>
  <si>
    <t>403.3</t>
  </si>
  <si>
    <t>347.4</t>
  </si>
  <si>
    <t>404.256287</t>
  </si>
  <si>
    <t>C24H36O5</t>
  </si>
  <si>
    <t>CA-7S</t>
  </si>
  <si>
    <t>cholic acid 7 sulfate</t>
  </si>
  <si>
    <t>487.244</t>
  </si>
  <si>
    <t>488.24439</t>
  </si>
  <si>
    <t>C24H40O8S</t>
  </si>
  <si>
    <t>DCA-3-O-S</t>
  </si>
  <si>
    <t>Deoxycholic Acid 3-O-Sulfate Disodium Salt</t>
  </si>
  <si>
    <t>471.249</t>
  </si>
  <si>
    <t>472.249475</t>
  </si>
  <si>
    <t>C24H40O7S</t>
  </si>
  <si>
    <t>6-ketoLCA</t>
  </si>
  <si>
    <t>5-β-Cholanic Acid-3α-ol-6-one</t>
  </si>
  <si>
    <t>389.277</t>
  </si>
  <si>
    <t>390.27701</t>
  </si>
  <si>
    <t>GHDCA</t>
  </si>
  <si>
    <t>Glycohyodeoxycholic Acid</t>
  </si>
  <si>
    <t>448.314</t>
  </si>
  <si>
    <t>449.314124</t>
  </si>
  <si>
    <t>C26H43NO5</t>
  </si>
  <si>
    <t>3β-CA</t>
  </si>
  <si>
    <t>3β-Cholic Acid</t>
  </si>
  <si>
    <t>343.4</t>
  </si>
  <si>
    <t>CA-3S</t>
  </si>
  <si>
    <t>Cholic Acid 3 Sulfate Sodium Salt</t>
  </si>
  <si>
    <t>IALCA</t>
  </si>
  <si>
    <t>Isoallolithocholic acid</t>
  </si>
  <si>
    <t>375.3</t>
  </si>
  <si>
    <t>376.29776</t>
  </si>
  <si>
    <t>LCA-3S</t>
  </si>
  <si>
    <t>lithocholic acid-3-sulfate</t>
  </si>
  <si>
    <t>455.3</t>
  </si>
  <si>
    <t>97</t>
  </si>
  <si>
    <t>456.254547</t>
  </si>
  <si>
    <t>C24H40O6S</t>
  </si>
  <si>
    <t>UCA</t>
  </si>
  <si>
    <t>Ursocholic acid</t>
  </si>
  <si>
    <t>CDCA-3S</t>
  </si>
  <si>
    <t>chenodeoxycholic acid3-sulfate disodium salt</t>
  </si>
  <si>
    <t>GUDCA-3S</t>
  </si>
  <si>
    <t>Glycoursodeoxycholic Acid 3 Sulfate Sodium</t>
  </si>
  <si>
    <t>528.271</t>
  </si>
  <si>
    <t>529.270939</t>
  </si>
  <si>
    <t>C26H43NO8S</t>
  </si>
  <si>
    <t>7,12-DKLCA</t>
  </si>
  <si>
    <t>7,12-diketolithocholic acid</t>
  </si>
  <si>
    <t>385.3</t>
  </si>
  <si>
    <t>GCDCA-3S</t>
  </si>
  <si>
    <t>Glycochenodeoxycholic Acid 3 Sulfate Disodium Salt</t>
  </si>
  <si>
    <t>DHCA</t>
  </si>
  <si>
    <t>Dehydrocholic acid</t>
  </si>
  <si>
    <t>401.3</t>
  </si>
  <si>
    <t>402.240631</t>
  </si>
  <si>
    <t>C24H34O5</t>
  </si>
  <si>
    <t>12-oxo-CDCA</t>
  </si>
  <si>
    <t>12-Oxochenodeoxycholic acid</t>
  </si>
  <si>
    <t>3-oxo-CA</t>
  </si>
  <si>
    <t>3-Oxocholic acid</t>
  </si>
  <si>
    <t>289.4</t>
  </si>
  <si>
    <t>DLCA</t>
  </si>
  <si>
    <t>Dehydrolithocholic acid</t>
  </si>
  <si>
    <t>373.3</t>
  </si>
  <si>
    <t>374.282104</t>
  </si>
  <si>
    <t>C24H38O3</t>
  </si>
  <si>
    <t>3β-UDCA</t>
  </si>
  <si>
    <t>3β-Ursodeoxycholic Acid</t>
  </si>
  <si>
    <t>3β-DCA</t>
  </si>
  <si>
    <t>3β-deoxycholic acid</t>
  </si>
  <si>
    <t>3β-HDCA</t>
  </si>
  <si>
    <t>β-Hyodeoxycholic Acid</t>
  </si>
  <si>
    <t>CA</t>
  </si>
  <si>
    <t>cholic acid</t>
  </si>
  <si>
    <t>CDCA</t>
  </si>
  <si>
    <t>Chenodeoxycholic acid</t>
  </si>
  <si>
    <t>DCA</t>
  </si>
  <si>
    <t>Deoxycholic acid</t>
  </si>
  <si>
    <t>HDCA</t>
  </si>
  <si>
    <t>Hyodeoxycholic acid</t>
  </si>
  <si>
    <t>LCA</t>
  </si>
  <si>
    <t>Lithocholic acid</t>
  </si>
  <si>
    <t>UDCA</t>
  </si>
  <si>
    <t>Ursodeoxycholic acid</t>
  </si>
  <si>
    <t>12-KLCA</t>
  </si>
  <si>
    <t>12-ketolithocholic acid</t>
  </si>
  <si>
    <t>ILCA</t>
  </si>
  <si>
    <t>isolithocholic acid</t>
  </si>
  <si>
    <t>isoCDCA</t>
  </si>
  <si>
    <t>Isochenodeoxycholic Acid</t>
  </si>
  <si>
    <t>391.293</t>
  </si>
  <si>
    <t>392.29266</t>
  </si>
  <si>
    <t>ω-MCA</t>
  </si>
  <si>
    <t>ω-muricholic acid</t>
  </si>
  <si>
    <t>387.4</t>
  </si>
  <si>
    <t>β-MCA</t>
  </si>
  <si>
    <t>β-muricholic acid</t>
  </si>
  <si>
    <t>MDCA</t>
  </si>
  <si>
    <t>murideoxycholic acid</t>
  </si>
  <si>
    <t>23-DCA</t>
  </si>
  <si>
    <t>Nor-Deoxycholic Acid</t>
  </si>
  <si>
    <t>377.3</t>
  </si>
  <si>
    <t>378.277008</t>
  </si>
  <si>
    <t>C23H38O4</t>
  </si>
  <si>
    <t>α-MCA</t>
  </si>
  <si>
    <t>α-muricholic acid</t>
  </si>
  <si>
    <t>CDCA-3Gln</t>
  </si>
  <si>
    <t>Chenodeoxycholic acid-3-β-D-glucuronide</t>
  </si>
  <si>
    <t>Glucuronide</t>
  </si>
  <si>
    <t>567.3</t>
  </si>
  <si>
    <t>568.324768</t>
  </si>
  <si>
    <t>C30H48O10</t>
  </si>
  <si>
    <t>GCA</t>
  </si>
  <si>
    <t>Glycocholic acid</t>
  </si>
  <si>
    <t>Glyco</t>
  </si>
  <si>
    <t>464.3</t>
  </si>
  <si>
    <t>74</t>
  </si>
  <si>
    <t>465.309052</t>
  </si>
  <si>
    <t>GLCA</t>
  </si>
  <si>
    <t>Glycolithocholic acid</t>
  </si>
  <si>
    <t>432.3</t>
  </si>
  <si>
    <t>433.319214</t>
  </si>
  <si>
    <t>C26H43NO4</t>
  </si>
  <si>
    <t>GDHCA</t>
  </si>
  <si>
    <t>Glycodehydrocholic acid</t>
  </si>
  <si>
    <t>458.3</t>
  </si>
  <si>
    <t>73.9</t>
  </si>
  <si>
    <t>459.262085</t>
  </si>
  <si>
    <t>C26H37NO6</t>
  </si>
  <si>
    <t>GCDCA</t>
  </si>
  <si>
    <t>Glycochenodeoxycholic acid</t>
  </si>
  <si>
    <t>448.3</t>
  </si>
  <si>
    <t>449.314117</t>
  </si>
  <si>
    <t>GUDCA</t>
  </si>
  <si>
    <t>Glycoursodeoxycholic acid</t>
  </si>
  <si>
    <t>73.8</t>
  </si>
  <si>
    <t>GLCA-3S</t>
  </si>
  <si>
    <t>glycolithocholic acid-3-sulfate</t>
  </si>
  <si>
    <t>512.3</t>
  </si>
  <si>
    <t>97.2</t>
  </si>
  <si>
    <t>513.276001</t>
  </si>
  <si>
    <t>C26H43NO7S</t>
  </si>
  <si>
    <t>GHCA</t>
  </si>
  <si>
    <t>Glycohyocholic acid</t>
  </si>
  <si>
    <t>GDCA</t>
  </si>
  <si>
    <t>Glycodeoxycholic acid</t>
  </si>
  <si>
    <t>TLCA-3S</t>
  </si>
  <si>
    <t>taurolithocholic acid-3-sulfate</t>
  </si>
  <si>
    <t>Tauro</t>
  </si>
  <si>
    <t>562.5</t>
  </si>
  <si>
    <t>563.258667</t>
  </si>
  <si>
    <t>[M-2H]-2</t>
  </si>
  <si>
    <t>C26H45NO8S2</t>
  </si>
  <si>
    <t>TCA-3S</t>
  </si>
  <si>
    <t>Taurocholic Acid 3 sulfate sodium salt</t>
  </si>
  <si>
    <t>594.248</t>
  </si>
  <si>
    <t>595.248489</t>
  </si>
  <si>
    <t>C26H45NO10S2</t>
  </si>
  <si>
    <t>TLCA</t>
  </si>
  <si>
    <t>taurolithocholic acid</t>
  </si>
  <si>
    <t>482.3</t>
  </si>
  <si>
    <t>80</t>
  </si>
  <si>
    <t>483.301849</t>
  </si>
  <si>
    <t>C26H45NO5S</t>
  </si>
  <si>
    <t>Tβ-MCA</t>
  </si>
  <si>
    <t>Tauro-β-muricholic acid</t>
  </si>
  <si>
    <t>514.3</t>
  </si>
  <si>
    <t>79.8</t>
  </si>
  <si>
    <t>515.291687</t>
  </si>
  <si>
    <t>C26H45NO7S</t>
  </si>
  <si>
    <t>TCA</t>
  </si>
  <si>
    <t>Taurocholic acid</t>
  </si>
  <si>
    <t>TCDCA</t>
  </si>
  <si>
    <t>Taurochenodeoxycholic acid</t>
  </si>
  <si>
    <t>498.3</t>
  </si>
  <si>
    <t>499.296753</t>
  </si>
  <si>
    <t>C26H45NO6S</t>
  </si>
  <si>
    <t>THCA</t>
  </si>
  <si>
    <t>Taurohyocholic acid</t>
  </si>
  <si>
    <t>THDCA</t>
  </si>
  <si>
    <t>Taurohyodeoxycholic Acid (sodium salt)</t>
  </si>
  <si>
    <t>498.297</t>
  </si>
  <si>
    <t>499.296759</t>
  </si>
  <si>
    <t>TUDCA</t>
  </si>
  <si>
    <t>Tauroursodeoxycholic acid</t>
  </si>
  <si>
    <t>Tα-MCA</t>
  </si>
  <si>
    <t>Tauro-α-muricholicAcid sodium salt</t>
  </si>
  <si>
    <t>514.292</t>
  </si>
  <si>
    <t>515.291674</t>
  </si>
  <si>
    <t>Tω-MCA</t>
  </si>
  <si>
    <t>Tauro-ω-muricholic Acid sodium salt</t>
  </si>
  <si>
    <t>TDHCA</t>
  </si>
  <si>
    <t>Taurodehydrocholic acid</t>
  </si>
  <si>
    <t>508.3</t>
  </si>
  <si>
    <t>79.9</t>
  </si>
  <si>
    <t>509.24472</t>
  </si>
  <si>
    <t>C26H39NO7S</t>
  </si>
  <si>
    <t>TDCA</t>
  </si>
  <si>
    <t>Taurodeoxycholic acid</t>
  </si>
  <si>
    <t>1134</t>
  </si>
  <si>
    <t>*</t>
  </si>
  <si>
    <t>Pass QC</t>
  </si>
  <si>
    <t>Tg-ALF v Ntg ALF</t>
  </si>
  <si>
    <t>Tg-TRF v Tg-ALF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</si>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</sst>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2"/>
    </font>
    <font>
      <b/>
      <u/>
      <sz val="11"/>
      <color rgb="FF000000"/>
      <name val="Times New Roman"/>
      <family val="1"/>
    </font>
    <font>
      <sz val="12"/>
      <color rgb="FF000000"/>
      <name val="Times New Roman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164" fontId="9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25CB-9797-43F8-9994-7BC3B29E1759}">
  <dimension ref="A1:AJ66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baseColWidth="10" defaultColWidth="8.83203125" defaultRowHeight="15" x14ac:dyDescent="0.2"/>
  <cols>
    <col min="1" max="1" width="14.6640625" bestFit="1" customWidth="1"/>
    <col min="2" max="2" width="46.6640625" bestFit="1" customWidth="1"/>
    <col min="3" max="3" width="11" bestFit="1" customWidth="1"/>
    <col min="4" max="5" width="8.1640625" bestFit="1" customWidth="1"/>
    <col min="6" max="6" width="18.1640625" bestFit="1" customWidth="1"/>
    <col min="7" max="7" width="8.83203125" bestFit="1" customWidth="1"/>
    <col min="8" max="8" width="14.6640625" bestFit="1" customWidth="1"/>
    <col min="9" max="9" width="15.5" bestFit="1" customWidth="1"/>
    <col min="10" max="10" width="7.83203125" style="15" bestFit="1" customWidth="1"/>
    <col min="11" max="12" width="8.5" bestFit="1" customWidth="1"/>
    <col min="13" max="14" width="7.33203125" bestFit="1" customWidth="1"/>
    <col min="15" max="15" width="8.5" bestFit="1" customWidth="1"/>
    <col min="16" max="16" width="9.5" bestFit="1" customWidth="1"/>
    <col min="17" max="18" width="7.5" bestFit="1" customWidth="1"/>
    <col min="19" max="19" width="6.5" bestFit="1" customWidth="1"/>
    <col min="20" max="20" width="7.5" bestFit="1" customWidth="1"/>
    <col min="21" max="22" width="6.5" bestFit="1" customWidth="1"/>
    <col min="23" max="23" width="9.5" bestFit="1" customWidth="1"/>
    <col min="24" max="24" width="8.5" bestFit="1" customWidth="1"/>
    <col min="25" max="25" width="10.6640625" bestFit="1" customWidth="1"/>
    <col min="26" max="26" width="8.5" bestFit="1" customWidth="1"/>
    <col min="27" max="27" width="9.5" bestFit="1" customWidth="1"/>
    <col min="28" max="28" width="8.5" bestFit="1" customWidth="1"/>
    <col min="29" max="29" width="15.5" bestFit="1" customWidth="1"/>
    <col min="30" max="30" width="14.6640625" bestFit="1" customWidth="1"/>
  </cols>
  <sheetData>
    <row r="1" spans="1:30" ht="16" x14ac:dyDescent="0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4" t="s">
        <v>256</v>
      </c>
      <c r="K1" s="4" t="s">
        <v>254</v>
      </c>
      <c r="L1" s="4">
        <v>1136</v>
      </c>
      <c r="M1" s="4">
        <v>1101</v>
      </c>
      <c r="N1" s="4">
        <v>1135</v>
      </c>
      <c r="O1" s="4">
        <v>1106</v>
      </c>
      <c r="P1" s="4">
        <v>1322</v>
      </c>
      <c r="Q1" s="5">
        <v>1124</v>
      </c>
      <c r="R1" s="5">
        <v>1127</v>
      </c>
      <c r="S1" s="5">
        <v>1234</v>
      </c>
      <c r="T1" s="5">
        <v>1125</v>
      </c>
      <c r="U1" s="5">
        <v>1109</v>
      </c>
      <c r="V1" s="5">
        <v>1115</v>
      </c>
      <c r="W1" s="6">
        <v>1323</v>
      </c>
      <c r="X1" s="6">
        <v>1102</v>
      </c>
      <c r="Y1" s="6">
        <v>1321</v>
      </c>
      <c r="Z1" s="6">
        <v>1121</v>
      </c>
      <c r="AA1" s="6">
        <v>1126</v>
      </c>
      <c r="AB1" s="6">
        <v>1104</v>
      </c>
      <c r="AC1" s="16" t="s">
        <v>257</v>
      </c>
      <c r="AD1" s="17" t="s">
        <v>258</v>
      </c>
    </row>
    <row r="2" spans="1:30" ht="16" x14ac:dyDescent="0.2">
      <c r="A2" s="7" t="s">
        <v>127</v>
      </c>
      <c r="B2" s="1" t="s">
        <v>128</v>
      </c>
      <c r="C2" s="8" t="s">
        <v>11</v>
      </c>
      <c r="D2" s="8" t="s">
        <v>43</v>
      </c>
      <c r="E2" s="8" t="s">
        <v>79</v>
      </c>
      <c r="F2" s="8" t="s">
        <v>44</v>
      </c>
      <c r="G2" s="8" t="s">
        <v>14</v>
      </c>
      <c r="H2" s="8" t="s">
        <v>15</v>
      </c>
      <c r="I2" s="8" t="s">
        <v>45</v>
      </c>
      <c r="J2" s="25" t="s">
        <v>255</v>
      </c>
      <c r="K2" s="10">
        <v>95.596999999999994</v>
      </c>
      <c r="L2" s="10">
        <v>179.51</v>
      </c>
      <c r="M2" s="10">
        <v>393.36700000000002</v>
      </c>
      <c r="N2" s="10">
        <v>0.74544999999999995</v>
      </c>
      <c r="O2" s="10">
        <v>2.7185600000000001</v>
      </c>
      <c r="P2" s="36">
        <v>1030.2950000000001</v>
      </c>
      <c r="Q2" s="9">
        <v>10.16855</v>
      </c>
      <c r="R2" s="9">
        <v>149.429</v>
      </c>
      <c r="S2" s="9">
        <v>115.79949999999999</v>
      </c>
      <c r="T2" s="9">
        <v>6.7274500000000002</v>
      </c>
      <c r="U2" s="9">
        <v>7.3039500000000004</v>
      </c>
      <c r="V2" s="9">
        <v>3.3803000000000001</v>
      </c>
      <c r="W2" s="10">
        <v>245.19200000000001</v>
      </c>
      <c r="X2" s="10">
        <v>56.317</v>
      </c>
      <c r="Y2" s="10">
        <v>671.86</v>
      </c>
      <c r="Z2" s="10">
        <v>149.624</v>
      </c>
      <c r="AA2" s="10">
        <v>665.11500000000001</v>
      </c>
      <c r="AB2" s="10">
        <v>59.8825</v>
      </c>
      <c r="AC2" s="23">
        <f>_xlfn.T.TEST(K2:O2,Q2:V2,1,2)</f>
        <v>0.13268670385696035</v>
      </c>
      <c r="AD2" s="26">
        <f>_xlfn.T.TEST(Q2:V2,W2:AB2,1,2)</f>
        <v>2.8473429528755673E-2</v>
      </c>
    </row>
    <row r="3" spans="1:30" ht="16" x14ac:dyDescent="0.2">
      <c r="A3" s="7" t="s">
        <v>129</v>
      </c>
      <c r="B3" s="1" t="s">
        <v>130</v>
      </c>
      <c r="C3" s="8" t="s">
        <v>11</v>
      </c>
      <c r="D3" s="8" t="s">
        <v>27</v>
      </c>
      <c r="E3" s="8" t="s">
        <v>27</v>
      </c>
      <c r="F3" s="8" t="s">
        <v>29</v>
      </c>
      <c r="G3" s="8" t="s">
        <v>14</v>
      </c>
      <c r="H3" s="8" t="s">
        <v>15</v>
      </c>
      <c r="I3" s="8" t="s">
        <v>30</v>
      </c>
      <c r="J3" s="25" t="s">
        <v>255</v>
      </c>
      <c r="K3" s="10">
        <v>94.638999999999996</v>
      </c>
      <c r="L3" s="10">
        <v>109.22</v>
      </c>
      <c r="M3" s="10">
        <v>125.512</v>
      </c>
      <c r="N3" s="10">
        <v>5.8201999999999998</v>
      </c>
      <c r="O3" s="10">
        <v>11.604050000000001</v>
      </c>
      <c r="P3" s="10">
        <v>156.9555</v>
      </c>
      <c r="Q3" s="9">
        <v>29.514849999999999</v>
      </c>
      <c r="R3" s="9">
        <v>73.639499999999998</v>
      </c>
      <c r="S3" s="9">
        <v>80.942999999999998</v>
      </c>
      <c r="T3" s="9">
        <v>19.931999999999999</v>
      </c>
      <c r="U3" s="9">
        <v>7.23475</v>
      </c>
      <c r="V3" s="9">
        <v>5.6796499999999996</v>
      </c>
      <c r="W3" s="10">
        <v>449.22649999999999</v>
      </c>
      <c r="X3" s="10">
        <v>38.427399999999999</v>
      </c>
      <c r="Y3" s="36">
        <v>927.06500000000005</v>
      </c>
      <c r="Z3" s="10">
        <v>23.341550000000002</v>
      </c>
      <c r="AA3" s="10">
        <v>80.989000000000004</v>
      </c>
      <c r="AB3" s="10">
        <v>18.577500000000001</v>
      </c>
      <c r="AC3" s="22">
        <f>_xlfn.T.TEST(K3:P3,Q3:V3,1,2)</f>
        <v>6.3117369481728039E-2</v>
      </c>
      <c r="AD3" s="20">
        <v>0.14349999999999999</v>
      </c>
    </row>
    <row r="4" spans="1:30" ht="16" x14ac:dyDescent="0.2">
      <c r="A4" s="7" t="s">
        <v>131</v>
      </c>
      <c r="B4" s="1" t="s">
        <v>132</v>
      </c>
      <c r="C4" s="8" t="s">
        <v>11</v>
      </c>
      <c r="D4" s="8" t="s">
        <v>27</v>
      </c>
      <c r="E4" s="8" t="s">
        <v>28</v>
      </c>
      <c r="F4" s="8" t="s">
        <v>29</v>
      </c>
      <c r="G4" s="8" t="s">
        <v>14</v>
      </c>
      <c r="H4" s="8" t="s">
        <v>15</v>
      </c>
      <c r="I4" s="8" t="s">
        <v>30</v>
      </c>
      <c r="J4" s="25" t="s">
        <v>255</v>
      </c>
      <c r="K4" s="10">
        <v>353.70499999999998</v>
      </c>
      <c r="L4" s="10">
        <v>663.47</v>
      </c>
      <c r="M4" s="10">
        <v>289.35000000000002</v>
      </c>
      <c r="N4" s="10">
        <v>120.751</v>
      </c>
      <c r="O4" s="10">
        <v>135.8365</v>
      </c>
      <c r="P4" s="10">
        <v>117.7565</v>
      </c>
      <c r="Q4" s="9">
        <v>92.358999999999995</v>
      </c>
      <c r="R4" s="9">
        <v>254.59399999999999</v>
      </c>
      <c r="S4" s="9">
        <v>345.71550000000002</v>
      </c>
      <c r="T4" s="9">
        <v>226.553</v>
      </c>
      <c r="U4" s="9">
        <v>127.065</v>
      </c>
      <c r="V4" s="9">
        <v>64.408500000000004</v>
      </c>
      <c r="W4" s="10">
        <v>442.06849999999997</v>
      </c>
      <c r="X4" s="10">
        <v>202.76949999999999</v>
      </c>
      <c r="Y4" s="10">
        <v>5638.6</v>
      </c>
      <c r="Z4" s="10">
        <v>68.146000000000001</v>
      </c>
      <c r="AA4" s="10">
        <v>585.71500000000003</v>
      </c>
      <c r="AB4" s="10">
        <v>392.34399999999999</v>
      </c>
      <c r="AC4" s="23">
        <f>_xlfn.T.TEST(K4:P4,Q4:V4,1,2)</f>
        <v>0.17584435968164175</v>
      </c>
      <c r="AD4" s="20">
        <f t="shared" ref="AD4:AD5" si="0">_xlfn.T.TEST(Q4:V4,W4:AB4,1,2)</f>
        <v>0.13500771585244398</v>
      </c>
    </row>
    <row r="5" spans="1:30" ht="16" x14ac:dyDescent="0.2">
      <c r="A5" s="7" t="s">
        <v>167</v>
      </c>
      <c r="B5" s="1" t="s">
        <v>168</v>
      </c>
      <c r="C5" s="8" t="s">
        <v>169</v>
      </c>
      <c r="D5" s="8" t="s">
        <v>170</v>
      </c>
      <c r="E5" s="8" t="s">
        <v>171</v>
      </c>
      <c r="F5" s="8" t="s">
        <v>172</v>
      </c>
      <c r="G5" s="8" t="s">
        <v>14</v>
      </c>
      <c r="H5" s="8" t="s">
        <v>15</v>
      </c>
      <c r="I5" s="8" t="s">
        <v>40</v>
      </c>
      <c r="J5" s="25" t="s">
        <v>255</v>
      </c>
      <c r="K5" s="10">
        <v>16.741499999999998</v>
      </c>
      <c r="L5" s="10">
        <v>19.0806</v>
      </c>
      <c r="M5" s="10">
        <v>75.513999999999996</v>
      </c>
      <c r="N5" s="10">
        <v>16.623249999999999</v>
      </c>
      <c r="O5" s="11">
        <v>19.0806</v>
      </c>
      <c r="P5" s="10">
        <v>361.80450000000002</v>
      </c>
      <c r="Q5" s="9">
        <v>85.343000000000004</v>
      </c>
      <c r="R5" s="9">
        <v>67.355000000000004</v>
      </c>
      <c r="S5" s="9">
        <v>24.391749999999998</v>
      </c>
      <c r="T5" s="9">
        <v>36.542549999999999</v>
      </c>
      <c r="U5" s="9">
        <v>18.14265</v>
      </c>
      <c r="V5" s="9">
        <v>13.36745</v>
      </c>
      <c r="W5" s="10">
        <v>168.55199999999999</v>
      </c>
      <c r="X5" s="10">
        <v>37.920850000000002</v>
      </c>
      <c r="Y5" s="10">
        <v>506.39</v>
      </c>
      <c r="Z5" s="10">
        <v>50.991500000000002</v>
      </c>
      <c r="AA5" s="10">
        <v>451.18099999999998</v>
      </c>
      <c r="AB5" s="10">
        <v>20.333500000000001</v>
      </c>
      <c r="AC5" s="23">
        <f>_xlfn.T.TEST(K5:P5,Q5:V5,1,2)</f>
        <v>0.23092590799509716</v>
      </c>
      <c r="AD5" s="26">
        <f t="shared" si="0"/>
        <v>4.8213924371469014E-2</v>
      </c>
    </row>
    <row r="6" spans="1:30" ht="16" x14ac:dyDescent="0.2">
      <c r="A6" s="7" t="s">
        <v>184</v>
      </c>
      <c r="B6" s="1" t="s">
        <v>185</v>
      </c>
      <c r="C6" s="8" t="s">
        <v>169</v>
      </c>
      <c r="D6" s="8" t="s">
        <v>186</v>
      </c>
      <c r="E6" s="8" t="s">
        <v>171</v>
      </c>
      <c r="F6" s="8" t="s">
        <v>187</v>
      </c>
      <c r="G6" s="8" t="s">
        <v>14</v>
      </c>
      <c r="H6" s="8" t="s">
        <v>15</v>
      </c>
      <c r="I6" s="8" t="s">
        <v>76</v>
      </c>
      <c r="J6" s="25"/>
      <c r="K6" s="12" t="s">
        <v>22</v>
      </c>
      <c r="L6" s="12" t="s">
        <v>22</v>
      </c>
      <c r="M6" s="12" t="s">
        <v>22</v>
      </c>
      <c r="N6" s="12" t="s">
        <v>22</v>
      </c>
      <c r="O6" s="12" t="s">
        <v>22</v>
      </c>
      <c r="P6" s="12">
        <v>3.6354799999999998</v>
      </c>
      <c r="Q6" s="13" t="s">
        <v>22</v>
      </c>
      <c r="R6" s="13" t="s">
        <v>22</v>
      </c>
      <c r="S6" s="13" t="s">
        <v>22</v>
      </c>
      <c r="T6" s="13" t="s">
        <v>22</v>
      </c>
      <c r="U6" s="13" t="s">
        <v>22</v>
      </c>
      <c r="V6" s="13" t="s">
        <v>22</v>
      </c>
      <c r="W6" s="12">
        <v>3.6365150000000002</v>
      </c>
      <c r="X6" s="12" t="s">
        <v>22</v>
      </c>
      <c r="Y6" s="12">
        <v>5.3585000000000003</v>
      </c>
      <c r="Z6" s="12" t="s">
        <v>22</v>
      </c>
      <c r="AA6" s="12" t="s">
        <v>22</v>
      </c>
      <c r="AB6" s="12" t="s">
        <v>22</v>
      </c>
      <c r="AC6" s="23"/>
      <c r="AD6" s="20"/>
    </row>
    <row r="7" spans="1:30" ht="16" x14ac:dyDescent="0.2">
      <c r="A7" s="7" t="s">
        <v>199</v>
      </c>
      <c r="B7" s="1" t="s">
        <v>200</v>
      </c>
      <c r="C7" s="8" t="s">
        <v>169</v>
      </c>
      <c r="D7" s="8" t="s">
        <v>186</v>
      </c>
      <c r="E7" s="8" t="s">
        <v>190</v>
      </c>
      <c r="F7" s="8" t="s">
        <v>187</v>
      </c>
      <c r="G7" s="8" t="s">
        <v>14</v>
      </c>
      <c r="H7" s="8" t="s">
        <v>15</v>
      </c>
      <c r="I7" s="8" t="s">
        <v>76</v>
      </c>
      <c r="J7" s="25"/>
      <c r="K7" s="12" t="s">
        <v>22</v>
      </c>
      <c r="L7" s="12" t="s">
        <v>22</v>
      </c>
      <c r="M7" s="12" t="s">
        <v>22</v>
      </c>
      <c r="N7" s="12" t="s">
        <v>22</v>
      </c>
      <c r="O7" s="12" t="s">
        <v>22</v>
      </c>
      <c r="P7" s="12">
        <v>3.5223599999999999</v>
      </c>
      <c r="Q7" s="13" t="s">
        <v>22</v>
      </c>
      <c r="R7" s="13" t="s">
        <v>22</v>
      </c>
      <c r="S7" s="13" t="s">
        <v>22</v>
      </c>
      <c r="T7" s="13" t="s">
        <v>22</v>
      </c>
      <c r="U7" s="13" t="s">
        <v>22</v>
      </c>
      <c r="V7" s="13" t="s">
        <v>22</v>
      </c>
      <c r="W7" s="12" t="s">
        <v>22</v>
      </c>
      <c r="X7" s="12" t="s">
        <v>22</v>
      </c>
      <c r="Y7" s="12" t="s">
        <v>22</v>
      </c>
      <c r="Z7" s="12" t="s">
        <v>22</v>
      </c>
      <c r="AA7" s="12">
        <v>4.6239350000000004</v>
      </c>
      <c r="AB7" s="12" t="s">
        <v>22</v>
      </c>
      <c r="AC7" s="23"/>
      <c r="AD7" s="20"/>
    </row>
    <row r="8" spans="1:30" ht="16" x14ac:dyDescent="0.2">
      <c r="A8" s="7" t="s">
        <v>173</v>
      </c>
      <c r="B8" s="1" t="s">
        <v>174</v>
      </c>
      <c r="C8" s="8" t="s">
        <v>169</v>
      </c>
      <c r="D8" s="8" t="s">
        <v>175</v>
      </c>
      <c r="E8" s="8" t="s">
        <v>171</v>
      </c>
      <c r="F8" s="8" t="s">
        <v>176</v>
      </c>
      <c r="G8" s="8" t="s">
        <v>14</v>
      </c>
      <c r="H8" s="8" t="s">
        <v>15</v>
      </c>
      <c r="I8" s="8" t="s">
        <v>177</v>
      </c>
      <c r="J8" s="25"/>
      <c r="K8" s="12" t="s">
        <v>22</v>
      </c>
      <c r="L8" s="12" t="s">
        <v>22</v>
      </c>
      <c r="M8" s="12" t="s">
        <v>22</v>
      </c>
      <c r="N8" s="12" t="s">
        <v>22</v>
      </c>
      <c r="O8" s="12" t="s">
        <v>22</v>
      </c>
      <c r="P8" s="12" t="s">
        <v>22</v>
      </c>
      <c r="Q8" s="13" t="s">
        <v>22</v>
      </c>
      <c r="R8" s="13" t="s">
        <v>22</v>
      </c>
      <c r="S8" s="13" t="s">
        <v>22</v>
      </c>
      <c r="T8" s="13" t="s">
        <v>22</v>
      </c>
      <c r="U8" s="13" t="s">
        <v>22</v>
      </c>
      <c r="V8" s="13" t="s">
        <v>22</v>
      </c>
      <c r="W8" s="12" t="s">
        <v>22</v>
      </c>
      <c r="X8" s="12" t="s">
        <v>22</v>
      </c>
      <c r="Y8" s="12" t="s">
        <v>22</v>
      </c>
      <c r="Z8" s="12" t="s">
        <v>22</v>
      </c>
      <c r="AA8" s="12" t="s">
        <v>22</v>
      </c>
      <c r="AB8" s="12" t="s">
        <v>22</v>
      </c>
      <c r="AC8" s="23"/>
      <c r="AD8" s="20"/>
    </row>
    <row r="9" spans="1:30" ht="16" x14ac:dyDescent="0.2">
      <c r="A9" s="7" t="s">
        <v>188</v>
      </c>
      <c r="B9" s="1" t="s">
        <v>189</v>
      </c>
      <c r="C9" s="8" t="s">
        <v>169</v>
      </c>
      <c r="D9" s="8" t="s">
        <v>186</v>
      </c>
      <c r="E9" s="8" t="s">
        <v>190</v>
      </c>
      <c r="F9" s="8" t="s">
        <v>187</v>
      </c>
      <c r="G9" s="8" t="s">
        <v>14</v>
      </c>
      <c r="H9" s="8" t="s">
        <v>15</v>
      </c>
      <c r="I9" s="8" t="s">
        <v>76</v>
      </c>
      <c r="J9" s="25"/>
      <c r="K9" s="12" t="s">
        <v>22</v>
      </c>
      <c r="L9" s="12" t="s">
        <v>22</v>
      </c>
      <c r="M9" s="12" t="s">
        <v>22</v>
      </c>
      <c r="N9" s="12" t="s">
        <v>22</v>
      </c>
      <c r="O9" s="12" t="s">
        <v>22</v>
      </c>
      <c r="P9" s="12">
        <v>2.18364</v>
      </c>
      <c r="Q9" s="13" t="s">
        <v>22</v>
      </c>
      <c r="R9" s="13" t="s">
        <v>22</v>
      </c>
      <c r="S9" s="13" t="s">
        <v>22</v>
      </c>
      <c r="T9" s="13" t="s">
        <v>22</v>
      </c>
      <c r="U9" s="13" t="s">
        <v>22</v>
      </c>
      <c r="V9" s="13" t="s">
        <v>22</v>
      </c>
      <c r="W9" s="12">
        <v>3.4613800000000001</v>
      </c>
      <c r="X9" s="12" t="s">
        <v>22</v>
      </c>
      <c r="Y9" s="12">
        <v>3.6879499999999998</v>
      </c>
      <c r="Z9" s="12" t="s">
        <v>22</v>
      </c>
      <c r="AA9" s="12" t="s">
        <v>22</v>
      </c>
      <c r="AB9" s="12" t="s">
        <v>22</v>
      </c>
      <c r="AC9" s="23"/>
      <c r="AD9" s="20"/>
    </row>
    <row r="10" spans="1:30" ht="16" x14ac:dyDescent="0.2">
      <c r="A10" s="7" t="s">
        <v>225</v>
      </c>
      <c r="B10" s="1" t="s">
        <v>226</v>
      </c>
      <c r="C10" s="8" t="s">
        <v>203</v>
      </c>
      <c r="D10" s="8" t="s">
        <v>221</v>
      </c>
      <c r="E10" s="8" t="s">
        <v>222</v>
      </c>
      <c r="F10" s="8" t="s">
        <v>223</v>
      </c>
      <c r="G10" s="8" t="s">
        <v>14</v>
      </c>
      <c r="H10" s="8" t="s">
        <v>15</v>
      </c>
      <c r="I10" s="8" t="s">
        <v>224</v>
      </c>
      <c r="J10" s="25" t="s">
        <v>255</v>
      </c>
      <c r="K10" s="10">
        <v>501.73</v>
      </c>
      <c r="L10" s="10">
        <v>955.36500000000001</v>
      </c>
      <c r="M10" s="10">
        <v>334.43150000000003</v>
      </c>
      <c r="N10" s="10">
        <v>830.54499999999996</v>
      </c>
      <c r="O10" s="10">
        <v>372.46699999999998</v>
      </c>
      <c r="P10" s="10">
        <v>22621.3</v>
      </c>
      <c r="Q10" s="9">
        <v>4867.2150000000001</v>
      </c>
      <c r="R10" s="9">
        <v>1335.9349999999999</v>
      </c>
      <c r="S10" s="9">
        <v>450.22500000000002</v>
      </c>
      <c r="T10" s="9">
        <v>4259.3149999999996</v>
      </c>
      <c r="U10" s="9">
        <v>957.92499999999995</v>
      </c>
      <c r="V10" s="9">
        <v>444.94299999999998</v>
      </c>
      <c r="W10" s="10">
        <v>43605.8</v>
      </c>
      <c r="X10" s="10">
        <v>1775.95</v>
      </c>
      <c r="Y10" s="10">
        <v>137159.5</v>
      </c>
      <c r="Z10" s="10">
        <v>7976.45</v>
      </c>
      <c r="AA10" s="10">
        <v>21920.9</v>
      </c>
      <c r="AB10" s="10">
        <v>1035.3599999999999</v>
      </c>
      <c r="AC10" s="23">
        <f>_xlfn.T.TEST(K10:P10,Q10:V10,1,2)</f>
        <v>0.28428427610937523</v>
      </c>
      <c r="AD10" s="18">
        <f t="shared" ref="AD10:AD65" si="1">_xlfn.T.TEST(Q10:V10,W10:AB10,1,2)</f>
        <v>7.3788710833334409E-2</v>
      </c>
    </row>
    <row r="11" spans="1:30" ht="16" x14ac:dyDescent="0.2">
      <c r="A11" s="7" t="s">
        <v>227</v>
      </c>
      <c r="B11" s="1" t="s">
        <v>228</v>
      </c>
      <c r="C11" s="8" t="s">
        <v>203</v>
      </c>
      <c r="D11" s="8" t="s">
        <v>229</v>
      </c>
      <c r="E11" s="8" t="s">
        <v>222</v>
      </c>
      <c r="F11" s="8" t="s">
        <v>230</v>
      </c>
      <c r="G11" s="8" t="s">
        <v>14</v>
      </c>
      <c r="H11" s="8" t="s">
        <v>15</v>
      </c>
      <c r="I11" s="8" t="s">
        <v>231</v>
      </c>
      <c r="J11" s="25" t="s">
        <v>255</v>
      </c>
      <c r="K11" s="10">
        <v>62.402500000000003</v>
      </c>
      <c r="L11" s="10">
        <v>75.410499999999999</v>
      </c>
      <c r="M11" s="10">
        <v>26.591850000000001</v>
      </c>
      <c r="N11" s="10">
        <v>57.142499999999998</v>
      </c>
      <c r="O11" s="10">
        <v>21.90155</v>
      </c>
      <c r="P11" s="10">
        <v>1193.5650000000001</v>
      </c>
      <c r="Q11" s="9">
        <v>303.89299999999997</v>
      </c>
      <c r="R11" s="9">
        <v>75.285499999999999</v>
      </c>
      <c r="S11" s="9">
        <v>25.353950000000001</v>
      </c>
      <c r="T11" s="9">
        <v>296.33800000000002</v>
      </c>
      <c r="U11" s="9">
        <v>60.558500000000002</v>
      </c>
      <c r="V11" s="9">
        <v>24.382300000000001</v>
      </c>
      <c r="W11" s="10">
        <v>8310.2999999999993</v>
      </c>
      <c r="X11" s="10">
        <v>107.8745</v>
      </c>
      <c r="Y11" s="10">
        <v>21447.45</v>
      </c>
      <c r="Z11" s="10">
        <v>351.16649999999998</v>
      </c>
      <c r="AA11" s="10">
        <v>1147.4649999999999</v>
      </c>
      <c r="AB11" s="10">
        <v>42.89425</v>
      </c>
      <c r="AC11" s="23">
        <f>_xlfn.T.TEST(K11:O11,Q11:V11,1,2)</f>
        <v>0.10364714208646825</v>
      </c>
      <c r="AD11" s="18">
        <f>_xlfn.T.TEST(Q11:V11,W11:AB11,1,2)</f>
        <v>8.7388762739262507E-2</v>
      </c>
    </row>
    <row r="12" spans="1:30" ht="16" x14ac:dyDescent="0.2">
      <c r="A12" s="7" t="s">
        <v>252</v>
      </c>
      <c r="B12" s="1" t="s">
        <v>253</v>
      </c>
      <c r="C12" s="8" t="s">
        <v>203</v>
      </c>
      <c r="D12" s="8" t="s">
        <v>229</v>
      </c>
      <c r="E12" s="8" t="s">
        <v>222</v>
      </c>
      <c r="F12" s="8" t="s">
        <v>230</v>
      </c>
      <c r="G12" s="8" t="s">
        <v>14</v>
      </c>
      <c r="H12" s="8" t="s">
        <v>15</v>
      </c>
      <c r="I12" s="8" t="s">
        <v>231</v>
      </c>
      <c r="J12" s="25" t="s">
        <v>255</v>
      </c>
      <c r="K12" s="10">
        <v>122.2145</v>
      </c>
      <c r="L12" s="10">
        <v>202.41200000000001</v>
      </c>
      <c r="M12" s="10">
        <v>74.836500000000001</v>
      </c>
      <c r="N12" s="10">
        <v>171.99850000000001</v>
      </c>
      <c r="O12" s="10">
        <v>90.728999999999999</v>
      </c>
      <c r="P12" s="10">
        <v>1260.4549999999999</v>
      </c>
      <c r="Q12" s="9">
        <v>234.62649999999999</v>
      </c>
      <c r="R12" s="9">
        <v>134.8425</v>
      </c>
      <c r="S12" s="9">
        <v>96.464500000000001</v>
      </c>
      <c r="T12" s="9">
        <v>528.16</v>
      </c>
      <c r="U12" s="9">
        <v>328.82600000000002</v>
      </c>
      <c r="V12" s="9">
        <v>112.877</v>
      </c>
      <c r="W12" s="10">
        <v>5215.45</v>
      </c>
      <c r="X12" s="10">
        <v>169.91</v>
      </c>
      <c r="Y12" s="10">
        <v>7773.8</v>
      </c>
      <c r="Z12" s="10">
        <v>127.6165</v>
      </c>
      <c r="AA12" s="10">
        <v>3878.4450000000002</v>
      </c>
      <c r="AB12" s="10">
        <v>169.16749999999999</v>
      </c>
      <c r="AC12" s="23">
        <f>_xlfn.T.TEST(K12:P12,Q12:V12,1,2)</f>
        <v>0.34739327094273165</v>
      </c>
      <c r="AD12" s="19">
        <f t="shared" si="1"/>
        <v>3.6866079706730941E-2</v>
      </c>
    </row>
    <row r="13" spans="1:30" ht="16" x14ac:dyDescent="0.2">
      <c r="A13" s="7" t="s">
        <v>213</v>
      </c>
      <c r="B13" s="1" t="s">
        <v>214</v>
      </c>
      <c r="C13" s="8" t="s">
        <v>203</v>
      </c>
      <c r="D13" s="8" t="s">
        <v>215</v>
      </c>
      <c r="E13" s="8" t="s">
        <v>216</v>
      </c>
      <c r="F13" s="8" t="s">
        <v>217</v>
      </c>
      <c r="G13" s="8" t="s">
        <v>14</v>
      </c>
      <c r="H13" s="8" t="s">
        <v>15</v>
      </c>
      <c r="I13" s="8" t="s">
        <v>218</v>
      </c>
      <c r="J13" s="25"/>
      <c r="K13" s="12">
        <v>1.3943350000000001</v>
      </c>
      <c r="L13" s="12">
        <v>1.656325</v>
      </c>
      <c r="M13" s="28">
        <v>1.656325</v>
      </c>
      <c r="N13" s="28">
        <v>1.656325</v>
      </c>
      <c r="O13" s="28">
        <v>1.656325</v>
      </c>
      <c r="P13" s="12">
        <v>31.81155</v>
      </c>
      <c r="Q13" s="13">
        <v>2.3843800000000002</v>
      </c>
      <c r="R13" s="13">
        <v>1.34788</v>
      </c>
      <c r="S13" s="29">
        <v>2.1210275000000003</v>
      </c>
      <c r="T13" s="13">
        <v>2.8273100000000002</v>
      </c>
      <c r="U13" s="13">
        <v>1.857675</v>
      </c>
      <c r="V13" s="29">
        <v>2.1210275000000003</v>
      </c>
      <c r="W13" s="12">
        <v>261.35899999999998</v>
      </c>
      <c r="X13" s="28">
        <v>8.0801499999999997</v>
      </c>
      <c r="Y13" s="12">
        <v>121.0945</v>
      </c>
      <c r="Z13" s="12">
        <v>4.2309900000000003</v>
      </c>
      <c r="AA13" s="12">
        <v>8.0801499999999997</v>
      </c>
      <c r="AB13" s="12">
        <v>2.0003549999999999</v>
      </c>
      <c r="AC13" s="30">
        <f>_xlfn.T.TEST(K13:P13,Q13:V13,1,2)</f>
        <v>0.19495861617106897</v>
      </c>
      <c r="AD13" s="18">
        <f t="shared" si="1"/>
        <v>8.0302622156971093E-2</v>
      </c>
    </row>
    <row r="14" spans="1:30" ht="16" x14ac:dyDescent="0.2">
      <c r="A14" s="7" t="s">
        <v>201</v>
      </c>
      <c r="B14" s="1" t="s">
        <v>202</v>
      </c>
      <c r="C14" s="8" t="s">
        <v>203</v>
      </c>
      <c r="D14" s="8" t="s">
        <v>204</v>
      </c>
      <c r="E14" s="8" t="s">
        <v>204</v>
      </c>
      <c r="F14" s="8" t="s">
        <v>205</v>
      </c>
      <c r="G14" s="8" t="s">
        <v>14</v>
      </c>
      <c r="H14" s="8" t="s">
        <v>206</v>
      </c>
      <c r="I14" s="8" t="s">
        <v>207</v>
      </c>
      <c r="J14" s="25"/>
      <c r="K14" s="12" t="s">
        <v>22</v>
      </c>
      <c r="L14" s="12" t="s">
        <v>22</v>
      </c>
      <c r="M14" s="12" t="s">
        <v>22</v>
      </c>
      <c r="N14" s="12" t="s">
        <v>22</v>
      </c>
      <c r="O14" s="12" t="s">
        <v>22</v>
      </c>
      <c r="P14" s="12" t="s">
        <v>22</v>
      </c>
      <c r="Q14" s="13" t="s">
        <v>22</v>
      </c>
      <c r="R14" s="13" t="s">
        <v>22</v>
      </c>
      <c r="S14" s="13" t="s">
        <v>22</v>
      </c>
      <c r="T14" s="13" t="s">
        <v>22</v>
      </c>
      <c r="U14" s="13" t="s">
        <v>22</v>
      </c>
      <c r="V14" s="13" t="s">
        <v>22</v>
      </c>
      <c r="W14" s="12">
        <v>392.37799999999999</v>
      </c>
      <c r="X14" s="12" t="s">
        <v>22</v>
      </c>
      <c r="Y14" s="12" t="s">
        <v>22</v>
      </c>
      <c r="Z14" s="12" t="s">
        <v>22</v>
      </c>
      <c r="AA14" s="12" t="s">
        <v>22</v>
      </c>
      <c r="AB14" s="12" t="s">
        <v>22</v>
      </c>
      <c r="AC14" s="23"/>
      <c r="AD14" s="20"/>
    </row>
    <row r="15" spans="1:30" ht="16" x14ac:dyDescent="0.2">
      <c r="A15" s="7" t="s">
        <v>219</v>
      </c>
      <c r="B15" s="1" t="s">
        <v>220</v>
      </c>
      <c r="C15" s="8" t="s">
        <v>203</v>
      </c>
      <c r="D15" s="8" t="s">
        <v>221</v>
      </c>
      <c r="E15" s="8" t="s">
        <v>222</v>
      </c>
      <c r="F15" s="8" t="s">
        <v>223</v>
      </c>
      <c r="G15" s="8" t="s">
        <v>14</v>
      </c>
      <c r="H15" s="8" t="s">
        <v>15</v>
      </c>
      <c r="I15" s="8" t="s">
        <v>224</v>
      </c>
      <c r="J15" s="25"/>
      <c r="K15" s="28">
        <v>1.3838075000000001</v>
      </c>
      <c r="L15" s="28">
        <v>1.3838075000000001</v>
      </c>
      <c r="M15" s="12">
        <v>1.02708</v>
      </c>
      <c r="N15" s="12">
        <v>1.7405349999999999</v>
      </c>
      <c r="O15" s="28">
        <v>1.3838075000000001</v>
      </c>
      <c r="P15" s="12">
        <v>74.466999999999999</v>
      </c>
      <c r="Q15" s="13">
        <v>1.9813350000000001</v>
      </c>
      <c r="R15" s="13">
        <v>1.527825</v>
      </c>
      <c r="S15" s="29">
        <v>1.75458</v>
      </c>
      <c r="T15" s="13">
        <v>2.02237</v>
      </c>
      <c r="U15" s="29">
        <v>1.75458</v>
      </c>
      <c r="V15" s="13">
        <v>1.1155900000000001</v>
      </c>
      <c r="W15" s="12">
        <v>29.38625</v>
      </c>
      <c r="X15" s="12">
        <v>2.5624850000000001</v>
      </c>
      <c r="Y15" s="12">
        <v>23.076149999999998</v>
      </c>
      <c r="Z15" s="12">
        <v>5.6841999999999997</v>
      </c>
      <c r="AA15" s="12">
        <v>5.7239500000000003</v>
      </c>
      <c r="AB15" s="12">
        <v>1.86114</v>
      </c>
      <c r="AC15" s="30">
        <f t="shared" ref="AC15:AC23" si="2">_xlfn.T.TEST(K15:P15,Q15:V15,1,2)</f>
        <v>0.17638393524285956</v>
      </c>
      <c r="AD15" s="26">
        <f t="shared" ref="AD15" si="3">_xlfn.T.TEST(Q15:V15,W15:AB15,1,2)</f>
        <v>3.5843967420353194E-2</v>
      </c>
    </row>
    <row r="16" spans="1:30" ht="16" x14ac:dyDescent="0.2">
      <c r="A16" s="7" t="s">
        <v>238</v>
      </c>
      <c r="B16" s="1" t="s">
        <v>239</v>
      </c>
      <c r="C16" s="8" t="s">
        <v>203</v>
      </c>
      <c r="D16" s="8" t="s">
        <v>229</v>
      </c>
      <c r="E16" s="8" t="s">
        <v>222</v>
      </c>
      <c r="F16" s="8" t="s">
        <v>230</v>
      </c>
      <c r="G16" s="8" t="s">
        <v>14</v>
      </c>
      <c r="H16" s="8" t="s">
        <v>15</v>
      </c>
      <c r="I16" s="8" t="s">
        <v>231</v>
      </c>
      <c r="J16" s="25" t="s">
        <v>255</v>
      </c>
      <c r="K16" s="10">
        <v>86.58</v>
      </c>
      <c r="L16" s="10">
        <v>115.864</v>
      </c>
      <c r="M16" s="10">
        <v>42.457050000000002</v>
      </c>
      <c r="N16" s="10">
        <v>88.385999999999996</v>
      </c>
      <c r="O16" s="10">
        <v>28.367650000000001</v>
      </c>
      <c r="P16" s="10">
        <v>574.71</v>
      </c>
      <c r="Q16" s="9">
        <v>107.86799999999999</v>
      </c>
      <c r="R16" s="9">
        <v>93.903499999999994</v>
      </c>
      <c r="S16" s="9">
        <v>30.7362</v>
      </c>
      <c r="T16" s="9">
        <v>283.34800000000001</v>
      </c>
      <c r="U16" s="9">
        <v>79.677999999999997</v>
      </c>
      <c r="V16" s="9">
        <v>28.701000000000001</v>
      </c>
      <c r="W16" s="10">
        <v>3751.8150000000001</v>
      </c>
      <c r="X16" s="10">
        <v>94.491500000000002</v>
      </c>
      <c r="Y16" s="10">
        <v>5084.05</v>
      </c>
      <c r="Z16" s="10">
        <v>409.17149999999998</v>
      </c>
      <c r="AA16" s="10">
        <v>603.875</v>
      </c>
      <c r="AB16" s="10">
        <v>68.471999999999994</v>
      </c>
      <c r="AC16" s="23">
        <f t="shared" si="2"/>
        <v>0.29408777162564287</v>
      </c>
      <c r="AD16" s="18">
        <f t="shared" si="1"/>
        <v>5.4773870147200185E-2</v>
      </c>
    </row>
    <row r="17" spans="1:30" ht="16" x14ac:dyDescent="0.2">
      <c r="A17" s="7" t="s">
        <v>137</v>
      </c>
      <c r="B17" s="1" t="s">
        <v>138</v>
      </c>
      <c r="C17" s="8" t="s">
        <v>11</v>
      </c>
      <c r="D17" s="8" t="s">
        <v>27</v>
      </c>
      <c r="E17" s="8" t="s">
        <v>27</v>
      </c>
      <c r="F17" s="8" t="s">
        <v>29</v>
      </c>
      <c r="G17" s="8" t="s">
        <v>14</v>
      </c>
      <c r="H17" s="8" t="s">
        <v>15</v>
      </c>
      <c r="I17" s="8" t="s">
        <v>30</v>
      </c>
      <c r="J17" s="25" t="s">
        <v>255</v>
      </c>
      <c r="K17" s="10">
        <v>98.581999999999994</v>
      </c>
      <c r="L17" s="10">
        <v>87.270499999999998</v>
      </c>
      <c r="M17" s="10">
        <v>42.053249999999998</v>
      </c>
      <c r="N17" s="10">
        <v>2.1681900000000001</v>
      </c>
      <c r="O17" s="10">
        <v>2.1295250000000001</v>
      </c>
      <c r="P17" s="10">
        <v>60.741999999999997</v>
      </c>
      <c r="Q17" s="9">
        <v>37.857849999999999</v>
      </c>
      <c r="R17" s="9">
        <v>103.5175</v>
      </c>
      <c r="S17" s="9">
        <v>57.167000000000002</v>
      </c>
      <c r="T17" s="9">
        <v>5.42075</v>
      </c>
      <c r="U17" s="9">
        <v>0.82272999999999996</v>
      </c>
      <c r="V17" s="9">
        <v>1.1357699999999999</v>
      </c>
      <c r="W17" s="10">
        <v>70.046499999999995</v>
      </c>
      <c r="X17" s="10">
        <v>16.539899999999999</v>
      </c>
      <c r="Y17" s="10">
        <v>120.8835</v>
      </c>
      <c r="Z17" s="10">
        <v>5.6267500000000004</v>
      </c>
      <c r="AA17" s="10">
        <v>79.47</v>
      </c>
      <c r="AB17" s="10">
        <v>2.4671050000000001</v>
      </c>
      <c r="AC17" s="23">
        <f t="shared" si="2"/>
        <v>0.27727437977529257</v>
      </c>
      <c r="AD17" s="20">
        <f t="shared" si="1"/>
        <v>0.28902145387924932</v>
      </c>
    </row>
    <row r="18" spans="1:30" ht="16" x14ac:dyDescent="0.2">
      <c r="A18" s="7" t="s">
        <v>133</v>
      </c>
      <c r="B18" s="1" t="s">
        <v>134</v>
      </c>
      <c r="C18" s="8" t="s">
        <v>11</v>
      </c>
      <c r="D18" s="8" t="s">
        <v>27</v>
      </c>
      <c r="E18" s="8" t="s">
        <v>27</v>
      </c>
      <c r="F18" s="8" t="s">
        <v>29</v>
      </c>
      <c r="G18" s="8" t="s">
        <v>14</v>
      </c>
      <c r="H18" s="8" t="s">
        <v>15</v>
      </c>
      <c r="I18" s="8" t="s">
        <v>30</v>
      </c>
      <c r="J18" s="25" t="s">
        <v>255</v>
      </c>
      <c r="K18" s="10">
        <v>103.755</v>
      </c>
      <c r="L18" s="10">
        <v>135.19</v>
      </c>
      <c r="M18" s="10">
        <v>52.637999999999998</v>
      </c>
      <c r="N18" s="10">
        <v>10.20415</v>
      </c>
      <c r="O18" s="10">
        <v>5.0727000000000002</v>
      </c>
      <c r="P18" s="10">
        <v>126.43049999999999</v>
      </c>
      <c r="Q18" s="9">
        <v>20.715</v>
      </c>
      <c r="R18" s="9">
        <v>58.401499999999999</v>
      </c>
      <c r="S18" s="9">
        <v>34.50705</v>
      </c>
      <c r="T18" s="9">
        <v>18.375599999999999</v>
      </c>
      <c r="U18" s="9">
        <v>9.7139000000000006</v>
      </c>
      <c r="V18" s="9">
        <v>5.5668499999999996</v>
      </c>
      <c r="W18" s="10">
        <v>198.29650000000001</v>
      </c>
      <c r="X18" s="10">
        <v>20.624849999999999</v>
      </c>
      <c r="Y18" s="10">
        <v>510.995</v>
      </c>
      <c r="Z18" s="10">
        <v>49.77375</v>
      </c>
      <c r="AA18" s="10">
        <v>73.673500000000004</v>
      </c>
      <c r="AB18" s="10">
        <v>22.657299999999999</v>
      </c>
      <c r="AC18" s="27">
        <f t="shared" si="2"/>
        <v>4.1987762385651495E-2</v>
      </c>
      <c r="AD18" s="18">
        <f t="shared" si="1"/>
        <v>7.56175046722906E-2</v>
      </c>
    </row>
    <row r="19" spans="1:30" ht="16" x14ac:dyDescent="0.2">
      <c r="A19" s="7" t="s">
        <v>135</v>
      </c>
      <c r="B19" s="1" t="s">
        <v>136</v>
      </c>
      <c r="C19" s="8" t="s">
        <v>11</v>
      </c>
      <c r="D19" s="8" t="s">
        <v>84</v>
      </c>
      <c r="E19" s="8" t="s">
        <v>84</v>
      </c>
      <c r="F19" s="8" t="s">
        <v>85</v>
      </c>
      <c r="G19" s="8" t="s">
        <v>14</v>
      </c>
      <c r="H19" s="8" t="s">
        <v>15</v>
      </c>
      <c r="I19" s="8" t="s">
        <v>35</v>
      </c>
      <c r="J19" s="25" t="s">
        <v>255</v>
      </c>
      <c r="K19" s="10">
        <v>19.555</v>
      </c>
      <c r="L19" s="10">
        <v>26.554099999999998</v>
      </c>
      <c r="M19" s="10">
        <v>17.057099999999998</v>
      </c>
      <c r="N19" s="10">
        <v>5.5723000000000003</v>
      </c>
      <c r="O19" s="10">
        <v>4.8331949999999999</v>
      </c>
      <c r="P19" s="10">
        <v>23.74015</v>
      </c>
      <c r="Q19" s="9">
        <v>8.2256499999999999</v>
      </c>
      <c r="R19" s="9">
        <v>15.950100000000001</v>
      </c>
      <c r="S19" s="9">
        <v>21.171199999999999</v>
      </c>
      <c r="T19" s="9">
        <v>12.385249999999999</v>
      </c>
      <c r="U19" s="9">
        <v>9.8736499999999996</v>
      </c>
      <c r="V19" s="9">
        <v>4.0750450000000003</v>
      </c>
      <c r="W19" s="10">
        <v>84.656000000000006</v>
      </c>
      <c r="X19" s="10">
        <v>15.401949999999999</v>
      </c>
      <c r="Y19" s="10">
        <v>300.31099999999998</v>
      </c>
      <c r="Z19" s="10">
        <v>8.3937000000000008</v>
      </c>
      <c r="AA19" s="10">
        <v>19.880649999999999</v>
      </c>
      <c r="AB19" s="10">
        <v>5.5178000000000003</v>
      </c>
      <c r="AC19" s="23">
        <f t="shared" si="2"/>
        <v>0.18092342371473269</v>
      </c>
      <c r="AD19" s="20">
        <f t="shared" si="1"/>
        <v>0.11475724763396104</v>
      </c>
    </row>
    <row r="20" spans="1:30" ht="16" x14ac:dyDescent="0.2">
      <c r="A20" s="7" t="s">
        <v>147</v>
      </c>
      <c r="B20" s="1" t="s">
        <v>148</v>
      </c>
      <c r="C20" s="8" t="s">
        <v>11</v>
      </c>
      <c r="D20" s="8" t="s">
        <v>43</v>
      </c>
      <c r="E20" s="8" t="s">
        <v>149</v>
      </c>
      <c r="F20" s="8" t="s">
        <v>44</v>
      </c>
      <c r="G20" s="8" t="s">
        <v>14</v>
      </c>
      <c r="H20" s="8" t="s">
        <v>15</v>
      </c>
      <c r="I20" s="8" t="s">
        <v>45</v>
      </c>
      <c r="J20" s="25" t="s">
        <v>255</v>
      </c>
      <c r="K20" s="10">
        <v>1339.6849999999999</v>
      </c>
      <c r="L20" s="10">
        <v>1000.72</v>
      </c>
      <c r="M20" s="10">
        <v>565.66499999999996</v>
      </c>
      <c r="N20" s="10">
        <v>229.572</v>
      </c>
      <c r="O20" s="11">
        <v>1000.72</v>
      </c>
      <c r="P20" s="10">
        <v>2391.61</v>
      </c>
      <c r="Q20" s="9">
        <v>114.54949999999999</v>
      </c>
      <c r="R20" s="9">
        <v>753.58500000000004</v>
      </c>
      <c r="S20" s="9">
        <v>372.24</v>
      </c>
      <c r="T20" s="9">
        <v>308.88650000000001</v>
      </c>
      <c r="U20" s="9">
        <v>224.92349999999999</v>
      </c>
      <c r="V20" s="14">
        <v>308.88650000000001</v>
      </c>
      <c r="W20" s="10">
        <v>2044.75</v>
      </c>
      <c r="X20" s="10">
        <v>161.94300000000001</v>
      </c>
      <c r="Y20" s="10">
        <v>2759.2249999999999</v>
      </c>
      <c r="Z20" s="10">
        <v>345.53750000000002</v>
      </c>
      <c r="AA20" s="10">
        <v>984.10500000000002</v>
      </c>
      <c r="AB20" s="10">
        <v>197.69399999999999</v>
      </c>
      <c r="AC20" s="27">
        <f t="shared" si="2"/>
        <v>2.0925928159954123E-2</v>
      </c>
      <c r="AD20" s="18">
        <f t="shared" si="1"/>
        <v>6.7899364610306365E-2</v>
      </c>
    </row>
    <row r="21" spans="1:30" ht="16" x14ac:dyDescent="0.2">
      <c r="A21" s="7" t="s">
        <v>150</v>
      </c>
      <c r="B21" s="1" t="s">
        <v>151</v>
      </c>
      <c r="C21" s="8" t="s">
        <v>11</v>
      </c>
      <c r="D21" s="8" t="s">
        <v>43</v>
      </c>
      <c r="E21" s="8" t="s">
        <v>43</v>
      </c>
      <c r="F21" s="8" t="s">
        <v>44</v>
      </c>
      <c r="G21" s="8" t="s">
        <v>14</v>
      </c>
      <c r="H21" s="8" t="s">
        <v>15</v>
      </c>
      <c r="I21" s="8" t="s">
        <v>45</v>
      </c>
      <c r="J21" s="25" t="s">
        <v>255</v>
      </c>
      <c r="K21" s="10">
        <v>205.9975</v>
      </c>
      <c r="L21" s="10">
        <v>159.4</v>
      </c>
      <c r="M21" s="10">
        <v>188.279</v>
      </c>
      <c r="N21" s="10">
        <v>5.8724999999999996</v>
      </c>
      <c r="O21" s="10">
        <v>4.8214550000000003</v>
      </c>
      <c r="P21" s="10">
        <v>1310.4349999999999</v>
      </c>
      <c r="Q21" s="9">
        <v>28.966249999999999</v>
      </c>
      <c r="R21" s="9">
        <v>285.858</v>
      </c>
      <c r="S21" s="9">
        <v>229.4605</v>
      </c>
      <c r="T21" s="9">
        <v>27.081299999999999</v>
      </c>
      <c r="U21" s="9">
        <v>10.32235</v>
      </c>
      <c r="V21" s="9">
        <v>7.6928000000000001</v>
      </c>
      <c r="W21" s="10">
        <v>453.81150000000002</v>
      </c>
      <c r="X21" s="10">
        <v>22.515250000000002</v>
      </c>
      <c r="Y21" s="10">
        <v>606.15499999999997</v>
      </c>
      <c r="Z21" s="10">
        <v>28.167549999999999</v>
      </c>
      <c r="AA21" s="10">
        <v>196.78450000000001</v>
      </c>
      <c r="AB21" s="10">
        <v>12.222149999999999</v>
      </c>
      <c r="AC21" s="23">
        <f t="shared" si="2"/>
        <v>0.16497023966799595</v>
      </c>
      <c r="AD21" s="20">
        <f t="shared" si="1"/>
        <v>0.15875957898760168</v>
      </c>
    </row>
    <row r="22" spans="1:30" ht="16" x14ac:dyDescent="0.2">
      <c r="A22" s="7" t="s">
        <v>159</v>
      </c>
      <c r="B22" s="1" t="s">
        <v>160</v>
      </c>
      <c r="C22" s="8" t="s">
        <v>11</v>
      </c>
      <c r="D22" s="8" t="s">
        <v>43</v>
      </c>
      <c r="E22" s="8" t="s">
        <v>43</v>
      </c>
      <c r="F22" s="8" t="s">
        <v>44</v>
      </c>
      <c r="G22" s="8" t="s">
        <v>14</v>
      </c>
      <c r="H22" s="8" t="s">
        <v>15</v>
      </c>
      <c r="I22" s="8" t="s">
        <v>45</v>
      </c>
      <c r="J22" s="25" t="s">
        <v>255</v>
      </c>
      <c r="K22" s="10">
        <v>11.54965</v>
      </c>
      <c r="L22" s="10">
        <v>16.065000000000001</v>
      </c>
      <c r="M22" s="10">
        <v>27.222549999999998</v>
      </c>
      <c r="N22" s="10">
        <v>2.9200650000000001</v>
      </c>
      <c r="O22" s="10">
        <v>1.325115</v>
      </c>
      <c r="P22" s="10">
        <v>209.62049999999999</v>
      </c>
      <c r="Q22" s="9">
        <v>1.4964949999999999</v>
      </c>
      <c r="R22" s="9">
        <v>6.7972000000000001</v>
      </c>
      <c r="S22" s="9">
        <v>7.2638499999999997</v>
      </c>
      <c r="T22" s="9">
        <v>5.4233500000000001</v>
      </c>
      <c r="U22" s="9">
        <v>1.818905</v>
      </c>
      <c r="V22" s="9">
        <v>1.1996100000000001</v>
      </c>
      <c r="W22" s="10">
        <v>103.6615</v>
      </c>
      <c r="X22" s="10">
        <v>2.4571350000000001</v>
      </c>
      <c r="Y22" s="10">
        <v>473.12799999999999</v>
      </c>
      <c r="Z22" s="10">
        <v>6.1420000000000003</v>
      </c>
      <c r="AA22" s="10">
        <v>23.622499999999999</v>
      </c>
      <c r="AB22" s="10">
        <v>2.3686050000000001</v>
      </c>
      <c r="AC22" s="23">
        <f t="shared" si="2"/>
        <v>0.12377975847720012</v>
      </c>
      <c r="AD22" s="20">
        <f t="shared" si="1"/>
        <v>0.11314810311406526</v>
      </c>
    </row>
    <row r="23" spans="1:30" ht="16" x14ac:dyDescent="0.2">
      <c r="A23" s="7" t="s">
        <v>9</v>
      </c>
      <c r="B23" s="1" t="s">
        <v>10</v>
      </c>
      <c r="C23" s="8" t="s">
        <v>11</v>
      </c>
      <c r="D23" s="8" t="s">
        <v>12</v>
      </c>
      <c r="E23" s="8" t="s">
        <v>12</v>
      </c>
      <c r="F23" s="8" t="s">
        <v>13</v>
      </c>
      <c r="G23" s="8" t="s">
        <v>14</v>
      </c>
      <c r="H23" s="8" t="s">
        <v>15</v>
      </c>
      <c r="I23" s="8" t="s">
        <v>16</v>
      </c>
      <c r="J23" s="25" t="s">
        <v>255</v>
      </c>
      <c r="K23" s="10">
        <v>7.9989999999999997</v>
      </c>
      <c r="L23" s="10">
        <v>18.962299999999999</v>
      </c>
      <c r="M23" s="10">
        <v>7.3673000000000002</v>
      </c>
      <c r="N23" s="10">
        <v>2.0140250000000002</v>
      </c>
      <c r="O23" s="10">
        <v>1.47603</v>
      </c>
      <c r="P23" s="10">
        <v>6.2873999999999999</v>
      </c>
      <c r="Q23" s="9">
        <v>2.5163199999999999</v>
      </c>
      <c r="R23" s="9">
        <v>8.3384999999999998</v>
      </c>
      <c r="S23" s="9">
        <v>4.9471299999999996</v>
      </c>
      <c r="T23" s="9">
        <v>4.5193899999999996</v>
      </c>
      <c r="U23" s="9">
        <v>2.0218799999999999</v>
      </c>
      <c r="V23" s="9">
        <v>1.5135799999999999</v>
      </c>
      <c r="W23" s="10">
        <v>15.06645</v>
      </c>
      <c r="X23" s="10">
        <v>4.3160100000000003</v>
      </c>
      <c r="Y23" s="10">
        <v>86.075500000000005</v>
      </c>
      <c r="Z23" s="10">
        <v>2.363985</v>
      </c>
      <c r="AA23" s="10">
        <v>11.00395</v>
      </c>
      <c r="AB23" s="10">
        <v>1.58731</v>
      </c>
      <c r="AC23" s="23">
        <f t="shared" si="2"/>
        <v>0.12622836170282706</v>
      </c>
      <c r="AD23" s="20">
        <f t="shared" si="1"/>
        <v>0.12898490432482834</v>
      </c>
    </row>
    <row r="24" spans="1:30" ht="16" x14ac:dyDescent="0.2">
      <c r="A24" s="7" t="s">
        <v>17</v>
      </c>
      <c r="B24" s="1" t="s">
        <v>18</v>
      </c>
      <c r="C24" s="8" t="s">
        <v>11</v>
      </c>
      <c r="D24" s="8" t="s">
        <v>19</v>
      </c>
      <c r="E24" s="8" t="s">
        <v>19</v>
      </c>
      <c r="F24" s="8" t="s">
        <v>20</v>
      </c>
      <c r="G24" s="8" t="s">
        <v>14</v>
      </c>
      <c r="H24" s="8" t="s">
        <v>15</v>
      </c>
      <c r="I24" s="8" t="s">
        <v>21</v>
      </c>
      <c r="J24" s="25"/>
      <c r="K24" s="12">
        <v>28.021149999999999</v>
      </c>
      <c r="L24" s="12">
        <v>27.933350000000001</v>
      </c>
      <c r="M24" s="12">
        <v>102.741</v>
      </c>
      <c r="N24" s="12" t="s">
        <v>22</v>
      </c>
      <c r="O24" s="12" t="s">
        <v>22</v>
      </c>
      <c r="P24" s="12">
        <v>627</v>
      </c>
      <c r="Q24" s="13" t="s">
        <v>22</v>
      </c>
      <c r="R24" s="13">
        <v>24.597650000000002</v>
      </c>
      <c r="S24" s="13">
        <v>39.750599999999999</v>
      </c>
      <c r="T24" s="13" t="s">
        <v>22</v>
      </c>
      <c r="U24" s="13" t="s">
        <v>22</v>
      </c>
      <c r="V24" s="13" t="s">
        <v>22</v>
      </c>
      <c r="W24" s="12">
        <v>19.27685</v>
      </c>
      <c r="X24" s="12">
        <v>7.4586499999999996</v>
      </c>
      <c r="Y24" s="12">
        <v>393.26650000000001</v>
      </c>
      <c r="Z24" s="12">
        <v>5.9433499999999997</v>
      </c>
      <c r="AA24" s="12">
        <v>51.817999999999998</v>
      </c>
      <c r="AB24" s="12">
        <v>8.3438999999999997</v>
      </c>
      <c r="AC24" s="23"/>
      <c r="AD24" s="20"/>
    </row>
    <row r="25" spans="1:30" ht="16" x14ac:dyDescent="0.2">
      <c r="A25" s="7" t="s">
        <v>23</v>
      </c>
      <c r="B25" s="1" t="s">
        <v>24</v>
      </c>
      <c r="C25" s="8" t="s">
        <v>11</v>
      </c>
      <c r="D25" s="8" t="s">
        <v>12</v>
      </c>
      <c r="E25" s="8" t="s">
        <v>12</v>
      </c>
      <c r="F25" s="8" t="s">
        <v>13</v>
      </c>
      <c r="G25" s="8" t="s">
        <v>14</v>
      </c>
      <c r="H25" s="8" t="s">
        <v>15</v>
      </c>
      <c r="I25" s="8" t="s">
        <v>16</v>
      </c>
      <c r="J25" s="25"/>
      <c r="K25" s="12">
        <v>6.7168000000000001</v>
      </c>
      <c r="L25" s="12">
        <v>9.2176500000000008</v>
      </c>
      <c r="M25" s="12">
        <v>1.921705</v>
      </c>
      <c r="N25" s="12">
        <v>1.3983099999999999</v>
      </c>
      <c r="O25" s="12" t="s">
        <v>22</v>
      </c>
      <c r="P25" s="12">
        <v>5.2773000000000003</v>
      </c>
      <c r="Q25" s="13">
        <v>2.129235</v>
      </c>
      <c r="R25" s="13">
        <v>4.5440699999999996</v>
      </c>
      <c r="S25" s="13">
        <v>5.2126000000000001</v>
      </c>
      <c r="T25" s="13">
        <v>2.024505</v>
      </c>
      <c r="U25" s="13" t="s">
        <v>22</v>
      </c>
      <c r="V25" s="13" t="s">
        <v>22</v>
      </c>
      <c r="W25" s="12">
        <v>5.7327500000000002</v>
      </c>
      <c r="X25" s="12" t="s">
        <v>22</v>
      </c>
      <c r="Y25" s="12">
        <v>95.076999999999998</v>
      </c>
      <c r="Z25" s="12" t="s">
        <v>22</v>
      </c>
      <c r="AA25" s="12">
        <v>3.2077</v>
      </c>
      <c r="AB25" s="12" t="s">
        <v>22</v>
      </c>
      <c r="AC25" s="23"/>
      <c r="AD25" s="20"/>
    </row>
    <row r="26" spans="1:30" ht="16" x14ac:dyDescent="0.2">
      <c r="A26" s="7" t="s">
        <v>25</v>
      </c>
      <c r="B26" s="1" t="s">
        <v>26</v>
      </c>
      <c r="C26" s="8" t="s">
        <v>11</v>
      </c>
      <c r="D26" s="8" t="s">
        <v>27</v>
      </c>
      <c r="E26" s="8" t="s">
        <v>28</v>
      </c>
      <c r="F26" s="8" t="s">
        <v>29</v>
      </c>
      <c r="G26" s="8" t="s">
        <v>14</v>
      </c>
      <c r="H26" s="8" t="s">
        <v>15</v>
      </c>
      <c r="I26" s="8" t="s">
        <v>30</v>
      </c>
      <c r="J26" s="25"/>
      <c r="K26" s="12" t="s">
        <v>22</v>
      </c>
      <c r="L26" s="12" t="s">
        <v>22</v>
      </c>
      <c r="M26" s="12" t="s">
        <v>22</v>
      </c>
      <c r="N26" s="12" t="s">
        <v>22</v>
      </c>
      <c r="O26" s="12" t="s">
        <v>22</v>
      </c>
      <c r="P26" s="12" t="s">
        <v>22</v>
      </c>
      <c r="Q26" s="13" t="s">
        <v>22</v>
      </c>
      <c r="R26" s="13" t="s">
        <v>22</v>
      </c>
      <c r="S26" s="13" t="s">
        <v>22</v>
      </c>
      <c r="T26" s="13" t="s">
        <v>22</v>
      </c>
      <c r="U26" s="13" t="s">
        <v>22</v>
      </c>
      <c r="V26" s="13" t="s">
        <v>22</v>
      </c>
      <c r="W26" s="12" t="s">
        <v>22</v>
      </c>
      <c r="X26" s="12" t="s">
        <v>22</v>
      </c>
      <c r="Y26" s="12" t="s">
        <v>22</v>
      </c>
      <c r="Z26" s="12" t="s">
        <v>22</v>
      </c>
      <c r="AA26" s="12" t="s">
        <v>22</v>
      </c>
      <c r="AB26" s="12" t="s">
        <v>22</v>
      </c>
      <c r="AC26" s="23"/>
      <c r="AD26" s="20"/>
    </row>
    <row r="27" spans="1:30" ht="16" x14ac:dyDescent="0.2">
      <c r="A27" s="7" t="s">
        <v>31</v>
      </c>
      <c r="B27" s="1" t="s">
        <v>32</v>
      </c>
      <c r="C27" s="8" t="s">
        <v>11</v>
      </c>
      <c r="D27" s="8" t="s">
        <v>33</v>
      </c>
      <c r="E27" s="8" t="s">
        <v>33</v>
      </c>
      <c r="F27" s="8" t="s">
        <v>34</v>
      </c>
      <c r="G27" s="8" t="s">
        <v>14</v>
      </c>
      <c r="H27" s="8" t="s">
        <v>15</v>
      </c>
      <c r="I27" s="8" t="s">
        <v>35</v>
      </c>
      <c r="J27" s="25"/>
      <c r="K27" s="12">
        <v>7.7660999999999998</v>
      </c>
      <c r="L27" s="12" t="s">
        <v>22</v>
      </c>
      <c r="M27" s="12">
        <v>4.1999000000000004</v>
      </c>
      <c r="N27" s="12" t="s">
        <v>22</v>
      </c>
      <c r="O27" s="12">
        <v>1.4553849999999999</v>
      </c>
      <c r="P27" s="12" t="s">
        <v>22</v>
      </c>
      <c r="Q27" s="13" t="s">
        <v>22</v>
      </c>
      <c r="R27" s="13">
        <v>1.146145</v>
      </c>
      <c r="S27" s="13">
        <v>1.045005</v>
      </c>
      <c r="T27" s="13">
        <v>10.123699999999999</v>
      </c>
      <c r="U27" s="13" t="s">
        <v>22</v>
      </c>
      <c r="V27" s="13" t="s">
        <v>22</v>
      </c>
      <c r="W27" s="12" t="s">
        <v>22</v>
      </c>
      <c r="X27" s="12" t="s">
        <v>22</v>
      </c>
      <c r="Y27" s="12">
        <v>480.20150000000001</v>
      </c>
      <c r="Z27" s="12">
        <v>2.76667</v>
      </c>
      <c r="AA27" s="12">
        <v>0.64483000000000001</v>
      </c>
      <c r="AB27" s="12">
        <v>0.41128799999999999</v>
      </c>
      <c r="AC27" s="23"/>
      <c r="AD27" s="20"/>
    </row>
    <row r="28" spans="1:30" ht="16" x14ac:dyDescent="0.2">
      <c r="A28" s="7" t="s">
        <v>36</v>
      </c>
      <c r="B28" s="1" t="s">
        <v>37</v>
      </c>
      <c r="C28" s="8" t="s">
        <v>11</v>
      </c>
      <c r="D28" s="8" t="s">
        <v>38</v>
      </c>
      <c r="E28" s="8" t="s">
        <v>38</v>
      </c>
      <c r="F28" s="8" t="s">
        <v>39</v>
      </c>
      <c r="G28" s="8" t="s">
        <v>14</v>
      </c>
      <c r="H28" s="8" t="s">
        <v>15</v>
      </c>
      <c r="I28" s="8" t="s">
        <v>40</v>
      </c>
      <c r="J28" s="25"/>
      <c r="K28" s="12" t="s">
        <v>22</v>
      </c>
      <c r="L28" s="12" t="s">
        <v>22</v>
      </c>
      <c r="M28" s="12">
        <v>0.90740500000000002</v>
      </c>
      <c r="N28" s="12">
        <v>3.486755</v>
      </c>
      <c r="O28" s="12" t="s">
        <v>22</v>
      </c>
      <c r="P28" s="12">
        <v>8.5770999999999997</v>
      </c>
      <c r="Q28" s="13">
        <v>0.71842499999999998</v>
      </c>
      <c r="R28" s="13" t="s">
        <v>22</v>
      </c>
      <c r="S28" s="13" t="s">
        <v>22</v>
      </c>
      <c r="T28" s="13" t="s">
        <v>22</v>
      </c>
      <c r="U28" s="13" t="s">
        <v>22</v>
      </c>
      <c r="V28" s="13" t="s">
        <v>22</v>
      </c>
      <c r="W28" s="12">
        <v>7.5054499999999997</v>
      </c>
      <c r="X28" s="12" t="s">
        <v>22</v>
      </c>
      <c r="Y28" s="12">
        <v>9.5684500000000003</v>
      </c>
      <c r="Z28" s="12">
        <v>1.6509400000000001</v>
      </c>
      <c r="AA28" s="12">
        <v>5.3907499999999997</v>
      </c>
      <c r="AB28" s="12" t="s">
        <v>22</v>
      </c>
      <c r="AC28" s="23"/>
      <c r="AD28" s="20"/>
    </row>
    <row r="29" spans="1:30" ht="16" x14ac:dyDescent="0.2">
      <c r="A29" s="7" t="s">
        <v>41</v>
      </c>
      <c r="B29" s="1" t="s">
        <v>42</v>
      </c>
      <c r="C29" s="8" t="s">
        <v>11</v>
      </c>
      <c r="D29" s="8" t="s">
        <v>43</v>
      </c>
      <c r="E29" s="8" t="s">
        <v>43</v>
      </c>
      <c r="F29" s="8" t="s">
        <v>44</v>
      </c>
      <c r="G29" s="8" t="s">
        <v>14</v>
      </c>
      <c r="H29" s="8" t="s">
        <v>15</v>
      </c>
      <c r="I29" s="8" t="s">
        <v>45</v>
      </c>
      <c r="J29" s="25"/>
      <c r="K29" s="12">
        <v>3.7860800000000001</v>
      </c>
      <c r="L29" s="12" t="s">
        <v>22</v>
      </c>
      <c r="M29" s="12">
        <v>3.9621650000000002</v>
      </c>
      <c r="N29" s="12" t="s">
        <v>22</v>
      </c>
      <c r="O29" s="12" t="s">
        <v>22</v>
      </c>
      <c r="P29" s="12">
        <v>10.732150000000001</v>
      </c>
      <c r="Q29" s="13" t="s">
        <v>22</v>
      </c>
      <c r="R29" s="13" t="s">
        <v>22</v>
      </c>
      <c r="S29" s="13" t="s">
        <v>22</v>
      </c>
      <c r="T29" s="13" t="s">
        <v>22</v>
      </c>
      <c r="U29" s="13" t="s">
        <v>22</v>
      </c>
      <c r="V29" s="13" t="s">
        <v>22</v>
      </c>
      <c r="W29" s="12">
        <v>9.1287500000000001</v>
      </c>
      <c r="X29" s="12" t="s">
        <v>22</v>
      </c>
      <c r="Y29" s="12">
        <v>52.765000000000001</v>
      </c>
      <c r="Z29" s="12" t="s">
        <v>22</v>
      </c>
      <c r="AA29" s="12">
        <v>4.6883549999999996</v>
      </c>
      <c r="AB29" s="12" t="s">
        <v>22</v>
      </c>
      <c r="AC29" s="23"/>
      <c r="AD29" s="20"/>
    </row>
    <row r="30" spans="1:30" ht="16" x14ac:dyDescent="0.2">
      <c r="A30" s="7" t="s">
        <v>46</v>
      </c>
      <c r="B30" s="1" t="s">
        <v>47</v>
      </c>
      <c r="C30" s="8" t="s">
        <v>11</v>
      </c>
      <c r="D30" s="8" t="s">
        <v>48</v>
      </c>
      <c r="E30" s="8" t="s">
        <v>49</v>
      </c>
      <c r="F30" s="8" t="s">
        <v>50</v>
      </c>
      <c r="G30" s="8" t="s">
        <v>14</v>
      </c>
      <c r="H30" s="8" t="s">
        <v>15</v>
      </c>
      <c r="I30" s="8" t="s">
        <v>51</v>
      </c>
      <c r="J30" s="25"/>
      <c r="K30" s="12" t="s">
        <v>22</v>
      </c>
      <c r="L30" s="12" t="s">
        <v>22</v>
      </c>
      <c r="M30" s="12" t="s">
        <v>22</v>
      </c>
      <c r="N30" s="12" t="s">
        <v>22</v>
      </c>
      <c r="O30" s="12" t="s">
        <v>22</v>
      </c>
      <c r="P30" s="12">
        <v>12.433400000000001</v>
      </c>
      <c r="Q30" s="13" t="s">
        <v>22</v>
      </c>
      <c r="R30" s="13" t="s">
        <v>22</v>
      </c>
      <c r="S30" s="13" t="s">
        <v>22</v>
      </c>
      <c r="T30" s="13">
        <v>6.79535</v>
      </c>
      <c r="U30" s="13" t="s">
        <v>22</v>
      </c>
      <c r="V30" s="13" t="s">
        <v>22</v>
      </c>
      <c r="W30" s="12">
        <v>7.7889999999999997</v>
      </c>
      <c r="X30" s="12" t="s">
        <v>22</v>
      </c>
      <c r="Y30" s="12">
        <v>6.3003499999999999</v>
      </c>
      <c r="Z30" s="12">
        <v>33.149349999999998</v>
      </c>
      <c r="AA30" s="12" t="s">
        <v>22</v>
      </c>
      <c r="AB30" s="12" t="s">
        <v>22</v>
      </c>
      <c r="AC30" s="23"/>
      <c r="AD30" s="20"/>
    </row>
    <row r="31" spans="1:30" ht="16" x14ac:dyDescent="0.2">
      <c r="A31" s="7" t="s">
        <v>52</v>
      </c>
      <c r="B31" s="1" t="s">
        <v>53</v>
      </c>
      <c r="C31" s="8" t="s">
        <v>11</v>
      </c>
      <c r="D31" s="8" t="s">
        <v>54</v>
      </c>
      <c r="E31" s="8" t="s">
        <v>55</v>
      </c>
      <c r="F31" s="8" t="s">
        <v>56</v>
      </c>
      <c r="G31" s="8" t="s">
        <v>14</v>
      </c>
      <c r="H31" s="8" t="s">
        <v>15</v>
      </c>
      <c r="I31" s="8" t="s">
        <v>57</v>
      </c>
      <c r="J31" s="25"/>
      <c r="K31" s="12">
        <v>1.6234999999999999</v>
      </c>
      <c r="L31" s="12" t="s">
        <v>22</v>
      </c>
      <c r="M31" s="12">
        <v>1.1125149999999999</v>
      </c>
      <c r="N31" s="12" t="s">
        <v>22</v>
      </c>
      <c r="O31" s="12" t="s">
        <v>22</v>
      </c>
      <c r="P31" s="12">
        <v>4.2794650000000001</v>
      </c>
      <c r="Q31" s="13" t="s">
        <v>22</v>
      </c>
      <c r="R31" s="13">
        <v>1.262275</v>
      </c>
      <c r="S31" s="13">
        <v>3.1641050000000002</v>
      </c>
      <c r="T31" s="13" t="s">
        <v>22</v>
      </c>
      <c r="U31" s="13" t="s">
        <v>22</v>
      </c>
      <c r="V31" s="13" t="s">
        <v>22</v>
      </c>
      <c r="W31" s="12" t="s">
        <v>22</v>
      </c>
      <c r="X31" s="12" t="s">
        <v>22</v>
      </c>
      <c r="Y31" s="12">
        <v>8.3270499999999998</v>
      </c>
      <c r="Z31" s="12" t="s">
        <v>22</v>
      </c>
      <c r="AA31" s="12" t="s">
        <v>22</v>
      </c>
      <c r="AB31" s="12" t="s">
        <v>22</v>
      </c>
      <c r="AC31" s="23"/>
      <c r="AD31" s="20"/>
    </row>
    <row r="32" spans="1:30" ht="16" x14ac:dyDescent="0.2">
      <c r="A32" s="7" t="s">
        <v>58</v>
      </c>
      <c r="B32" s="1" t="s">
        <v>59</v>
      </c>
      <c r="C32" s="8" t="s">
        <v>11</v>
      </c>
      <c r="D32" s="8" t="s">
        <v>60</v>
      </c>
      <c r="E32" s="8" t="s">
        <v>60</v>
      </c>
      <c r="F32" s="8" t="s">
        <v>61</v>
      </c>
      <c r="G32" s="8" t="s">
        <v>14</v>
      </c>
      <c r="H32" s="8" t="s">
        <v>15</v>
      </c>
      <c r="I32" s="8" t="s">
        <v>62</v>
      </c>
      <c r="J32" s="25"/>
      <c r="K32" s="12" t="s">
        <v>22</v>
      </c>
      <c r="L32" s="12" t="s">
        <v>22</v>
      </c>
      <c r="M32" s="12" t="s">
        <v>22</v>
      </c>
      <c r="N32" s="12" t="s">
        <v>22</v>
      </c>
      <c r="O32" s="12" t="s">
        <v>22</v>
      </c>
      <c r="P32" s="12">
        <v>132.00800000000001</v>
      </c>
      <c r="Q32" s="13" t="s">
        <v>22</v>
      </c>
      <c r="R32" s="13" t="s">
        <v>22</v>
      </c>
      <c r="S32" s="13" t="s">
        <v>22</v>
      </c>
      <c r="T32" s="13" t="s">
        <v>22</v>
      </c>
      <c r="U32" s="13" t="s">
        <v>22</v>
      </c>
      <c r="V32" s="13" t="s">
        <v>22</v>
      </c>
      <c r="W32" s="12">
        <v>10.37365</v>
      </c>
      <c r="X32" s="12" t="s">
        <v>22</v>
      </c>
      <c r="Y32" s="12">
        <v>29.025849999999998</v>
      </c>
      <c r="Z32" s="12" t="s">
        <v>22</v>
      </c>
      <c r="AA32" s="12" t="s">
        <v>22</v>
      </c>
      <c r="AB32" s="12" t="s">
        <v>22</v>
      </c>
      <c r="AC32" s="23"/>
      <c r="AD32" s="20"/>
    </row>
    <row r="33" spans="1:36" ht="16" x14ac:dyDescent="0.2">
      <c r="A33" s="7" t="s">
        <v>63</v>
      </c>
      <c r="B33" s="1" t="s">
        <v>64</v>
      </c>
      <c r="C33" s="8" t="s">
        <v>11</v>
      </c>
      <c r="D33" s="8" t="s">
        <v>65</v>
      </c>
      <c r="E33" s="8" t="s">
        <v>65</v>
      </c>
      <c r="F33" s="8" t="s">
        <v>66</v>
      </c>
      <c r="G33" s="8" t="s">
        <v>14</v>
      </c>
      <c r="H33" s="8" t="s">
        <v>15</v>
      </c>
      <c r="I33" s="8" t="s">
        <v>67</v>
      </c>
      <c r="J33" s="25"/>
      <c r="K33" s="12" t="s">
        <v>22</v>
      </c>
      <c r="L33" s="12" t="s">
        <v>22</v>
      </c>
      <c r="M33" s="12" t="s">
        <v>22</v>
      </c>
      <c r="N33" s="12" t="s">
        <v>22</v>
      </c>
      <c r="O33" s="12" t="s">
        <v>22</v>
      </c>
      <c r="P33" s="12">
        <v>0.94249000000000005</v>
      </c>
      <c r="Q33" s="13">
        <v>0.43282599999999999</v>
      </c>
      <c r="R33" s="13" t="s">
        <v>22</v>
      </c>
      <c r="S33" s="13" t="s">
        <v>22</v>
      </c>
      <c r="T33" s="13">
        <v>0.33186599999999999</v>
      </c>
      <c r="U33" s="13" t="s">
        <v>22</v>
      </c>
      <c r="V33" s="13" t="s">
        <v>22</v>
      </c>
      <c r="W33" s="12" t="s">
        <v>22</v>
      </c>
      <c r="X33" s="12" t="s">
        <v>22</v>
      </c>
      <c r="Y33" s="12" t="s">
        <v>22</v>
      </c>
      <c r="Z33" s="12" t="s">
        <v>22</v>
      </c>
      <c r="AA33" s="12">
        <v>0.35080349999999999</v>
      </c>
      <c r="AB33" s="12" t="s">
        <v>22</v>
      </c>
      <c r="AC33" s="23"/>
      <c r="AD33" s="20"/>
      <c r="AJ33" t="s">
        <v>259</v>
      </c>
    </row>
    <row r="34" spans="1:36" ht="16" x14ac:dyDescent="0.2">
      <c r="A34" s="7" t="s">
        <v>68</v>
      </c>
      <c r="B34" s="1" t="s">
        <v>69</v>
      </c>
      <c r="C34" s="8" t="s">
        <v>11</v>
      </c>
      <c r="D34" s="8" t="s">
        <v>70</v>
      </c>
      <c r="E34" s="8" t="s">
        <v>70</v>
      </c>
      <c r="F34" s="8" t="s">
        <v>71</v>
      </c>
      <c r="G34" s="8" t="s">
        <v>14</v>
      </c>
      <c r="H34" s="8" t="s">
        <v>15</v>
      </c>
      <c r="I34" s="8" t="s">
        <v>16</v>
      </c>
      <c r="J34" s="25" t="s">
        <v>255</v>
      </c>
      <c r="K34" s="32">
        <v>2.87663</v>
      </c>
      <c r="L34" s="32">
        <v>2.2458399999999998</v>
      </c>
      <c r="M34" s="32">
        <v>1.4997750000000001</v>
      </c>
      <c r="N34" s="11">
        <f>(MEDIAN(K34,L34,M34,P34))</f>
        <v>2.5612349999999999</v>
      </c>
      <c r="O34" s="11">
        <f>(MEDIAN(K34,L34,M34,P34))</f>
        <v>2.5612349999999999</v>
      </c>
      <c r="P34" s="32">
        <v>8.5161499999999997</v>
      </c>
      <c r="Q34" s="33">
        <f>(MEDIAN(R34,S34,T34,U34))</f>
        <v>1.0846225</v>
      </c>
      <c r="R34" s="34">
        <v>1.2925249999999999</v>
      </c>
      <c r="S34" s="34">
        <v>0.87672000000000005</v>
      </c>
      <c r="T34" s="34">
        <v>1.636155</v>
      </c>
      <c r="U34" s="34">
        <v>0.53951499999999997</v>
      </c>
      <c r="V34" s="33">
        <f>(MEDIAN(R34,S34,T34,U34))</f>
        <v>1.0846225</v>
      </c>
      <c r="W34" s="32">
        <v>4.4166150000000002</v>
      </c>
      <c r="X34" s="32">
        <v>0.65791999999999995</v>
      </c>
      <c r="Y34" s="32">
        <v>26.345949999999998</v>
      </c>
      <c r="Z34" s="32">
        <v>0.77361999999999997</v>
      </c>
      <c r="AA34" s="32">
        <v>3.6141399999999999</v>
      </c>
      <c r="AB34" s="31">
        <f>(MEDIAN(W34,AA34,Z34,Y34,X34))</f>
        <v>3.6141399999999999</v>
      </c>
      <c r="AC34" s="27">
        <f>_xlfn.T.TEST(K34:P34,Q34:V34,1,2)</f>
        <v>2.764714679100324E-2</v>
      </c>
      <c r="AD34" s="20">
        <f t="shared" ref="AD34" si="4">_xlfn.T.TEST(Q34:V34,W34:AB34,1,2)</f>
        <v>0.10067635968769849</v>
      </c>
    </row>
    <row r="35" spans="1:36" ht="16" x14ac:dyDescent="0.2">
      <c r="A35" s="7" t="s">
        <v>72</v>
      </c>
      <c r="B35" s="1" t="s">
        <v>73</v>
      </c>
      <c r="C35" s="8" t="s">
        <v>11</v>
      </c>
      <c r="D35" s="8" t="s">
        <v>74</v>
      </c>
      <c r="E35" s="8" t="s">
        <v>74</v>
      </c>
      <c r="F35" s="8" t="s">
        <v>75</v>
      </c>
      <c r="G35" s="8" t="s">
        <v>14</v>
      </c>
      <c r="H35" s="8" t="s">
        <v>15</v>
      </c>
      <c r="I35" s="8" t="s">
        <v>76</v>
      </c>
      <c r="J35" s="25"/>
      <c r="K35" s="12" t="s">
        <v>22</v>
      </c>
      <c r="L35" s="12" t="s">
        <v>22</v>
      </c>
      <c r="M35" s="12" t="s">
        <v>22</v>
      </c>
      <c r="N35" s="12" t="s">
        <v>22</v>
      </c>
      <c r="O35" s="12" t="s">
        <v>22</v>
      </c>
      <c r="P35" s="12">
        <v>1.8428</v>
      </c>
      <c r="Q35" s="13" t="s">
        <v>22</v>
      </c>
      <c r="R35" s="13" t="s">
        <v>22</v>
      </c>
      <c r="S35" s="13" t="s">
        <v>22</v>
      </c>
      <c r="T35" s="13" t="s">
        <v>22</v>
      </c>
      <c r="U35" s="13" t="s">
        <v>22</v>
      </c>
      <c r="V35" s="13" t="s">
        <v>22</v>
      </c>
      <c r="W35" s="12">
        <v>3.3358400000000001</v>
      </c>
      <c r="X35" s="12" t="s">
        <v>22</v>
      </c>
      <c r="Y35" s="12">
        <v>4.0757050000000001</v>
      </c>
      <c r="Z35" s="12" t="s">
        <v>22</v>
      </c>
      <c r="AA35" s="12">
        <v>1.770635</v>
      </c>
      <c r="AB35" s="12" t="s">
        <v>22</v>
      </c>
      <c r="AC35" s="23"/>
      <c r="AD35" s="20"/>
    </row>
    <row r="36" spans="1:36" ht="16" x14ac:dyDescent="0.2">
      <c r="A36" s="7" t="s">
        <v>77</v>
      </c>
      <c r="B36" s="1" t="s">
        <v>78</v>
      </c>
      <c r="C36" s="8" t="s">
        <v>11</v>
      </c>
      <c r="D36" s="8" t="s">
        <v>43</v>
      </c>
      <c r="E36" s="8" t="s">
        <v>79</v>
      </c>
      <c r="F36" s="8" t="s">
        <v>44</v>
      </c>
      <c r="G36" s="8" t="s">
        <v>14</v>
      </c>
      <c r="H36" s="8" t="s">
        <v>15</v>
      </c>
      <c r="I36" s="8" t="s">
        <v>45</v>
      </c>
      <c r="J36" s="25"/>
      <c r="K36" s="12" t="s">
        <v>22</v>
      </c>
      <c r="L36" s="12" t="s">
        <v>22</v>
      </c>
      <c r="M36" s="12" t="s">
        <v>22</v>
      </c>
      <c r="N36" s="12" t="s">
        <v>22</v>
      </c>
      <c r="O36" s="12" t="s">
        <v>22</v>
      </c>
      <c r="P36" s="12">
        <v>2.9551750000000001</v>
      </c>
      <c r="Q36" s="13" t="s">
        <v>22</v>
      </c>
      <c r="R36" s="13" t="s">
        <v>22</v>
      </c>
      <c r="S36" s="13" t="s">
        <v>22</v>
      </c>
      <c r="T36" s="13" t="s">
        <v>22</v>
      </c>
      <c r="U36" s="13" t="s">
        <v>22</v>
      </c>
      <c r="V36" s="13" t="s">
        <v>22</v>
      </c>
      <c r="W36" s="12" t="s">
        <v>22</v>
      </c>
      <c r="X36" s="12" t="s">
        <v>22</v>
      </c>
      <c r="Y36" s="12">
        <v>6.7380500000000003</v>
      </c>
      <c r="Z36" s="12" t="s">
        <v>22</v>
      </c>
      <c r="AA36" s="12" t="s">
        <v>22</v>
      </c>
      <c r="AB36" s="12" t="s">
        <v>22</v>
      </c>
      <c r="AC36" s="23"/>
      <c r="AD36" s="20"/>
    </row>
    <row r="37" spans="1:36" ht="16" x14ac:dyDescent="0.2">
      <c r="A37" s="7" t="s">
        <v>80</v>
      </c>
      <c r="B37" s="1" t="s">
        <v>81</v>
      </c>
      <c r="C37" s="8" t="s">
        <v>11</v>
      </c>
      <c r="D37" s="8" t="s">
        <v>60</v>
      </c>
      <c r="E37" s="8" t="s">
        <v>60</v>
      </c>
      <c r="F37" s="8" t="s">
        <v>61</v>
      </c>
      <c r="G37" s="8" t="s">
        <v>14</v>
      </c>
      <c r="H37" s="8" t="s">
        <v>15</v>
      </c>
      <c r="I37" s="8" t="s">
        <v>62</v>
      </c>
      <c r="J37" s="25"/>
      <c r="K37" s="12" t="s">
        <v>22</v>
      </c>
      <c r="L37" s="12" t="s">
        <v>22</v>
      </c>
      <c r="M37" s="12" t="s">
        <v>22</v>
      </c>
      <c r="N37" s="12" t="s">
        <v>22</v>
      </c>
      <c r="O37" s="12" t="s">
        <v>22</v>
      </c>
      <c r="P37" s="12">
        <v>2.6445650000000001</v>
      </c>
      <c r="Q37" s="13" t="s">
        <v>22</v>
      </c>
      <c r="R37" s="13" t="s">
        <v>22</v>
      </c>
      <c r="S37" s="13" t="s">
        <v>22</v>
      </c>
      <c r="T37" s="13" t="s">
        <v>22</v>
      </c>
      <c r="U37" s="13" t="s">
        <v>22</v>
      </c>
      <c r="V37" s="13" t="s">
        <v>22</v>
      </c>
      <c r="W37" s="12">
        <v>1.90873</v>
      </c>
      <c r="X37" s="12" t="s">
        <v>22</v>
      </c>
      <c r="Y37" s="12" t="s">
        <v>22</v>
      </c>
      <c r="Z37" s="12" t="s">
        <v>22</v>
      </c>
      <c r="AA37" s="12">
        <v>0.94922499999999999</v>
      </c>
      <c r="AB37" s="12" t="s">
        <v>22</v>
      </c>
      <c r="AC37" s="23"/>
      <c r="AD37" s="20"/>
    </row>
    <row r="38" spans="1:36" ht="16" x14ac:dyDescent="0.2">
      <c r="A38" s="7" t="s">
        <v>82</v>
      </c>
      <c r="B38" s="1" t="s">
        <v>83</v>
      </c>
      <c r="C38" s="8" t="s">
        <v>11</v>
      </c>
      <c r="D38" s="8" t="s">
        <v>84</v>
      </c>
      <c r="E38" s="8" t="s">
        <v>84</v>
      </c>
      <c r="F38" s="8" t="s">
        <v>85</v>
      </c>
      <c r="G38" s="8" t="s">
        <v>14</v>
      </c>
      <c r="H38" s="8" t="s">
        <v>15</v>
      </c>
      <c r="I38" s="8" t="s">
        <v>35</v>
      </c>
      <c r="J38" s="25"/>
      <c r="K38" s="12" t="s">
        <v>22</v>
      </c>
      <c r="L38" s="12" t="s">
        <v>22</v>
      </c>
      <c r="M38" s="12" t="s">
        <v>22</v>
      </c>
      <c r="N38" s="12" t="s">
        <v>22</v>
      </c>
      <c r="O38" s="12">
        <v>7.3741500000000002</v>
      </c>
      <c r="P38" s="12" t="s">
        <v>22</v>
      </c>
      <c r="Q38" s="13" t="s">
        <v>22</v>
      </c>
      <c r="R38" s="13" t="s">
        <v>22</v>
      </c>
      <c r="S38" s="13" t="s">
        <v>22</v>
      </c>
      <c r="T38" s="13" t="s">
        <v>22</v>
      </c>
      <c r="U38" s="13" t="s">
        <v>22</v>
      </c>
      <c r="V38" s="13" t="s">
        <v>22</v>
      </c>
      <c r="W38" s="12" t="s">
        <v>22</v>
      </c>
      <c r="X38" s="12" t="s">
        <v>22</v>
      </c>
      <c r="Y38" s="12" t="s">
        <v>22</v>
      </c>
      <c r="Z38" s="12">
        <v>8.8743999999999996</v>
      </c>
      <c r="AA38" s="12" t="s">
        <v>22</v>
      </c>
      <c r="AB38" s="12" t="s">
        <v>22</v>
      </c>
      <c r="AC38" s="23"/>
      <c r="AD38" s="20"/>
    </row>
    <row r="39" spans="1:36" ht="16" x14ac:dyDescent="0.2">
      <c r="A39" s="7" t="s">
        <v>86</v>
      </c>
      <c r="B39" s="1" t="s">
        <v>87</v>
      </c>
      <c r="C39" s="8" t="s">
        <v>11</v>
      </c>
      <c r="D39" s="8" t="s">
        <v>88</v>
      </c>
      <c r="E39" s="8" t="s">
        <v>89</v>
      </c>
      <c r="F39" s="8" t="s">
        <v>90</v>
      </c>
      <c r="G39" s="8" t="s">
        <v>14</v>
      </c>
      <c r="H39" s="8" t="s">
        <v>15</v>
      </c>
      <c r="I39" s="8" t="s">
        <v>91</v>
      </c>
      <c r="J39" s="25"/>
      <c r="K39" s="12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3" t="s">
        <v>22</v>
      </c>
      <c r="R39" s="13" t="s">
        <v>22</v>
      </c>
      <c r="S39" s="13" t="s">
        <v>22</v>
      </c>
      <c r="T39" s="13" t="s">
        <v>22</v>
      </c>
      <c r="U39" s="13" t="s">
        <v>22</v>
      </c>
      <c r="V39" s="13" t="s">
        <v>22</v>
      </c>
      <c r="W39" s="12">
        <v>1.14069</v>
      </c>
      <c r="X39" s="12" t="s">
        <v>22</v>
      </c>
      <c r="Y39" s="12" t="s">
        <v>22</v>
      </c>
      <c r="Z39" s="12" t="s">
        <v>22</v>
      </c>
      <c r="AA39" s="12">
        <v>0.76761500000000005</v>
      </c>
      <c r="AB39" s="12" t="s">
        <v>22</v>
      </c>
      <c r="AC39" s="23"/>
      <c r="AD39" s="20"/>
    </row>
    <row r="40" spans="1:36" ht="16" x14ac:dyDescent="0.2">
      <c r="A40" s="7" t="s">
        <v>92</v>
      </c>
      <c r="B40" s="1" t="s">
        <v>93</v>
      </c>
      <c r="C40" s="8" t="s">
        <v>11</v>
      </c>
      <c r="D40" s="8" t="s">
        <v>43</v>
      </c>
      <c r="E40" s="8" t="s">
        <v>79</v>
      </c>
      <c r="F40" s="8" t="s">
        <v>44</v>
      </c>
      <c r="G40" s="8" t="s">
        <v>14</v>
      </c>
      <c r="H40" s="8" t="s">
        <v>15</v>
      </c>
      <c r="I40" s="8" t="s">
        <v>45</v>
      </c>
      <c r="J40" s="25"/>
      <c r="K40" s="12" t="s">
        <v>22</v>
      </c>
      <c r="L40" s="12" t="s">
        <v>22</v>
      </c>
      <c r="M40" s="12" t="s">
        <v>22</v>
      </c>
      <c r="N40" s="12" t="s">
        <v>22</v>
      </c>
      <c r="O40" s="12" t="s">
        <v>22</v>
      </c>
      <c r="P40" s="12">
        <v>6.2092999999999998</v>
      </c>
      <c r="Q40" s="13" t="s">
        <v>22</v>
      </c>
      <c r="R40" s="13" t="s">
        <v>22</v>
      </c>
      <c r="S40" s="13" t="s">
        <v>22</v>
      </c>
      <c r="T40" s="13" t="s">
        <v>22</v>
      </c>
      <c r="U40" s="13" t="s">
        <v>22</v>
      </c>
      <c r="V40" s="13" t="s">
        <v>22</v>
      </c>
      <c r="W40" s="12" t="s">
        <v>22</v>
      </c>
      <c r="X40" s="12" t="s">
        <v>22</v>
      </c>
      <c r="Y40" s="12">
        <v>4.0721999999999996</v>
      </c>
      <c r="Z40" s="12" t="s">
        <v>22</v>
      </c>
      <c r="AA40" s="12" t="s">
        <v>22</v>
      </c>
      <c r="AB40" s="12" t="s">
        <v>22</v>
      </c>
      <c r="AC40" s="23"/>
      <c r="AD40" s="20"/>
    </row>
    <row r="41" spans="1:36" ht="16" x14ac:dyDescent="0.2">
      <c r="A41" s="7" t="s">
        <v>94</v>
      </c>
      <c r="B41" s="1" t="s">
        <v>95</v>
      </c>
      <c r="C41" s="8" t="s">
        <v>11</v>
      </c>
      <c r="D41" s="8" t="s">
        <v>65</v>
      </c>
      <c r="E41" s="8" t="s">
        <v>65</v>
      </c>
      <c r="F41" s="8" t="s">
        <v>66</v>
      </c>
      <c r="G41" s="8" t="s">
        <v>14</v>
      </c>
      <c r="H41" s="8" t="s">
        <v>15</v>
      </c>
      <c r="I41" s="8" t="s">
        <v>67</v>
      </c>
      <c r="J41" s="25"/>
      <c r="K41" s="12" t="s">
        <v>22</v>
      </c>
      <c r="L41" s="12" t="s">
        <v>22</v>
      </c>
      <c r="M41" s="12" t="s">
        <v>22</v>
      </c>
      <c r="N41" s="12" t="s">
        <v>22</v>
      </c>
      <c r="O41" s="12" t="s">
        <v>22</v>
      </c>
      <c r="P41" s="12">
        <v>3.069</v>
      </c>
      <c r="Q41" s="13" t="s">
        <v>22</v>
      </c>
      <c r="R41" s="13" t="s">
        <v>22</v>
      </c>
      <c r="S41" s="13" t="s">
        <v>22</v>
      </c>
      <c r="T41" s="13" t="s">
        <v>22</v>
      </c>
      <c r="U41" s="13" t="s">
        <v>22</v>
      </c>
      <c r="V41" s="13" t="s">
        <v>22</v>
      </c>
      <c r="W41" s="12" t="s">
        <v>22</v>
      </c>
      <c r="X41" s="12" t="s">
        <v>22</v>
      </c>
      <c r="Y41" s="12" t="s">
        <v>22</v>
      </c>
      <c r="Z41" s="12" t="s">
        <v>22</v>
      </c>
      <c r="AA41" s="12" t="s">
        <v>22</v>
      </c>
      <c r="AB41" s="12" t="s">
        <v>22</v>
      </c>
      <c r="AC41" s="23"/>
      <c r="AD41" s="20"/>
    </row>
    <row r="42" spans="1:36" ht="16" x14ac:dyDescent="0.2">
      <c r="A42" s="7" t="s">
        <v>96</v>
      </c>
      <c r="B42" s="1" t="s">
        <v>97</v>
      </c>
      <c r="C42" s="8" t="s">
        <v>11</v>
      </c>
      <c r="D42" s="8" t="s">
        <v>98</v>
      </c>
      <c r="E42" s="8" t="s">
        <v>98</v>
      </c>
      <c r="F42" s="8" t="s">
        <v>99</v>
      </c>
      <c r="G42" s="8" t="s">
        <v>14</v>
      </c>
      <c r="H42" s="8" t="s">
        <v>15</v>
      </c>
      <c r="I42" s="8" t="s">
        <v>100</v>
      </c>
      <c r="J42" s="25"/>
      <c r="K42" s="12" t="s">
        <v>22</v>
      </c>
      <c r="L42" s="12" t="s">
        <v>22</v>
      </c>
      <c r="M42" s="12" t="s">
        <v>22</v>
      </c>
      <c r="N42" s="12" t="s">
        <v>22</v>
      </c>
      <c r="O42" s="12" t="s">
        <v>22</v>
      </c>
      <c r="P42" s="12">
        <v>16.7181</v>
      </c>
      <c r="Q42" s="13" t="s">
        <v>22</v>
      </c>
      <c r="R42" s="13" t="s">
        <v>22</v>
      </c>
      <c r="S42" s="13" t="s">
        <v>22</v>
      </c>
      <c r="T42" s="13" t="s">
        <v>22</v>
      </c>
      <c r="U42" s="13" t="s">
        <v>22</v>
      </c>
      <c r="V42" s="13" t="s">
        <v>22</v>
      </c>
      <c r="W42" s="12" t="s">
        <v>22</v>
      </c>
      <c r="X42" s="12" t="s">
        <v>22</v>
      </c>
      <c r="Y42" s="12" t="s">
        <v>22</v>
      </c>
      <c r="Z42" s="12" t="s">
        <v>22</v>
      </c>
      <c r="AA42" s="12" t="s">
        <v>22</v>
      </c>
      <c r="AB42" s="12" t="s">
        <v>22</v>
      </c>
      <c r="AC42" s="23"/>
      <c r="AD42" s="20"/>
    </row>
    <row r="43" spans="1:36" ht="16" x14ac:dyDescent="0.2">
      <c r="A43" s="7" t="s">
        <v>101</v>
      </c>
      <c r="B43" s="1" t="s">
        <v>102</v>
      </c>
      <c r="C43" s="8" t="s">
        <v>11</v>
      </c>
      <c r="D43" s="8" t="s">
        <v>54</v>
      </c>
      <c r="E43" s="8" t="s">
        <v>103</v>
      </c>
      <c r="F43" s="8" t="s">
        <v>56</v>
      </c>
      <c r="G43" s="8" t="s">
        <v>14</v>
      </c>
      <c r="H43" s="8" t="s">
        <v>15</v>
      </c>
      <c r="I43" s="8" t="s">
        <v>57</v>
      </c>
      <c r="J43" s="25"/>
      <c r="K43" s="12" t="s">
        <v>22</v>
      </c>
      <c r="L43" s="12" t="s">
        <v>22</v>
      </c>
      <c r="M43" s="12" t="s">
        <v>22</v>
      </c>
      <c r="N43" s="12" t="s">
        <v>22</v>
      </c>
      <c r="O43" s="12" t="s">
        <v>22</v>
      </c>
      <c r="P43" s="12" t="s">
        <v>22</v>
      </c>
      <c r="Q43" s="13" t="s">
        <v>22</v>
      </c>
      <c r="R43" s="13" t="s">
        <v>22</v>
      </c>
      <c r="S43" s="13" t="s">
        <v>22</v>
      </c>
      <c r="T43" s="13" t="s">
        <v>22</v>
      </c>
      <c r="U43" s="13" t="s">
        <v>22</v>
      </c>
      <c r="V43" s="13" t="s">
        <v>22</v>
      </c>
      <c r="W43" s="12" t="s">
        <v>22</v>
      </c>
      <c r="X43" s="12" t="s">
        <v>22</v>
      </c>
      <c r="Y43" s="12">
        <v>9.7352500000000006</v>
      </c>
      <c r="Z43" s="12" t="s">
        <v>22</v>
      </c>
      <c r="AA43" s="12" t="s">
        <v>22</v>
      </c>
      <c r="AB43" s="12" t="s">
        <v>22</v>
      </c>
      <c r="AC43" s="23"/>
      <c r="AD43" s="20"/>
    </row>
    <row r="44" spans="1:36" ht="16" x14ac:dyDescent="0.2">
      <c r="A44" s="7" t="s">
        <v>104</v>
      </c>
      <c r="B44" s="1" t="s">
        <v>105</v>
      </c>
      <c r="C44" s="8" t="s">
        <v>11</v>
      </c>
      <c r="D44" s="8" t="s">
        <v>98</v>
      </c>
      <c r="E44" s="8" t="s">
        <v>98</v>
      </c>
      <c r="F44" s="8" t="s">
        <v>99</v>
      </c>
      <c r="G44" s="8" t="s">
        <v>14</v>
      </c>
      <c r="H44" s="8" t="s">
        <v>15</v>
      </c>
      <c r="I44" s="8" t="s">
        <v>100</v>
      </c>
      <c r="J44" s="25"/>
      <c r="K44" s="12" t="s">
        <v>22</v>
      </c>
      <c r="L44" s="12" t="s">
        <v>22</v>
      </c>
      <c r="M44" s="12" t="s">
        <v>22</v>
      </c>
      <c r="N44" s="12" t="s">
        <v>22</v>
      </c>
      <c r="O44" s="12" t="s">
        <v>22</v>
      </c>
      <c r="P44" s="12" t="s">
        <v>22</v>
      </c>
      <c r="Q44" s="13" t="s">
        <v>22</v>
      </c>
      <c r="R44" s="13" t="s">
        <v>22</v>
      </c>
      <c r="S44" s="13" t="s">
        <v>22</v>
      </c>
      <c r="T44" s="13" t="s">
        <v>22</v>
      </c>
      <c r="U44" s="13" t="s">
        <v>22</v>
      </c>
      <c r="V44" s="13" t="s">
        <v>22</v>
      </c>
      <c r="W44" s="12" t="s">
        <v>22</v>
      </c>
      <c r="X44" s="12" t="s">
        <v>22</v>
      </c>
      <c r="Y44" s="12" t="s">
        <v>22</v>
      </c>
      <c r="Z44" s="12" t="s">
        <v>22</v>
      </c>
      <c r="AA44" s="12" t="s">
        <v>22</v>
      </c>
      <c r="AB44" s="12" t="s">
        <v>22</v>
      </c>
      <c r="AC44" s="23"/>
      <c r="AD44" s="20"/>
    </row>
    <row r="45" spans="1:36" ht="16" x14ac:dyDescent="0.2">
      <c r="A45" s="7" t="s">
        <v>106</v>
      </c>
      <c r="B45" s="1" t="s">
        <v>107</v>
      </c>
      <c r="C45" s="8" t="s">
        <v>11</v>
      </c>
      <c r="D45" s="8" t="s">
        <v>108</v>
      </c>
      <c r="E45" s="8" t="s">
        <v>108</v>
      </c>
      <c r="F45" s="8" t="s">
        <v>109</v>
      </c>
      <c r="G45" s="8" t="s">
        <v>14</v>
      </c>
      <c r="H45" s="8" t="s">
        <v>15</v>
      </c>
      <c r="I45" s="8" t="s">
        <v>110</v>
      </c>
      <c r="J45" s="25"/>
      <c r="K45" s="12" t="s">
        <v>22</v>
      </c>
      <c r="L45" s="12" t="s">
        <v>22</v>
      </c>
      <c r="M45" s="12" t="s">
        <v>22</v>
      </c>
      <c r="N45" s="12" t="s">
        <v>22</v>
      </c>
      <c r="O45" s="12" t="s">
        <v>22</v>
      </c>
      <c r="P45" s="12" t="s">
        <v>22</v>
      </c>
      <c r="Q45" s="13" t="s">
        <v>22</v>
      </c>
      <c r="R45" s="13" t="s">
        <v>22</v>
      </c>
      <c r="S45" s="13" t="s">
        <v>22</v>
      </c>
      <c r="T45" s="13" t="s">
        <v>22</v>
      </c>
      <c r="U45" s="13" t="s">
        <v>22</v>
      </c>
      <c r="V45" s="13" t="s">
        <v>22</v>
      </c>
      <c r="W45" s="12" t="s">
        <v>22</v>
      </c>
      <c r="X45" s="12" t="s">
        <v>22</v>
      </c>
      <c r="Y45" s="12" t="s">
        <v>22</v>
      </c>
      <c r="Z45" s="12" t="s">
        <v>22</v>
      </c>
      <c r="AA45" s="12" t="s">
        <v>22</v>
      </c>
      <c r="AB45" s="12" t="s">
        <v>22</v>
      </c>
      <c r="AC45" s="23"/>
      <c r="AD45" s="20"/>
    </row>
    <row r="46" spans="1:36" ht="16" x14ac:dyDescent="0.2">
      <c r="A46" s="7" t="s">
        <v>111</v>
      </c>
      <c r="B46" s="1" t="s">
        <v>112</v>
      </c>
      <c r="C46" s="8" t="s">
        <v>11</v>
      </c>
      <c r="D46" s="8" t="s">
        <v>19</v>
      </c>
      <c r="E46" s="8" t="s">
        <v>19</v>
      </c>
      <c r="F46" s="8" t="s">
        <v>20</v>
      </c>
      <c r="G46" s="8" t="s">
        <v>14</v>
      </c>
      <c r="H46" s="8" t="s">
        <v>15</v>
      </c>
      <c r="I46" s="8" t="s">
        <v>21</v>
      </c>
      <c r="J46" s="25"/>
      <c r="K46" s="12" t="s">
        <v>22</v>
      </c>
      <c r="L46" s="12">
        <v>5.2896999999999998</v>
      </c>
      <c r="M46" s="12">
        <v>5.8192000000000004</v>
      </c>
      <c r="N46" s="12" t="s">
        <v>22</v>
      </c>
      <c r="O46" s="12" t="s">
        <v>22</v>
      </c>
      <c r="P46" s="12" t="s">
        <v>22</v>
      </c>
      <c r="Q46" s="13" t="s">
        <v>22</v>
      </c>
      <c r="R46" s="13" t="s">
        <v>22</v>
      </c>
      <c r="S46" s="13">
        <v>2.861675</v>
      </c>
      <c r="T46" s="13" t="s">
        <v>22</v>
      </c>
      <c r="U46" s="13" t="s">
        <v>22</v>
      </c>
      <c r="V46" s="13" t="s">
        <v>22</v>
      </c>
      <c r="W46" s="12" t="s">
        <v>22</v>
      </c>
      <c r="X46" s="12" t="s">
        <v>22</v>
      </c>
      <c r="Y46" s="12" t="s">
        <v>22</v>
      </c>
      <c r="Z46" s="12" t="s">
        <v>22</v>
      </c>
      <c r="AA46" s="12" t="s">
        <v>22</v>
      </c>
      <c r="AB46" s="12" t="s">
        <v>22</v>
      </c>
      <c r="AC46" s="23"/>
      <c r="AD46" s="20"/>
    </row>
    <row r="47" spans="1:36" ht="16" x14ac:dyDescent="0.2">
      <c r="A47" s="7" t="s">
        <v>113</v>
      </c>
      <c r="B47" s="1" t="s">
        <v>114</v>
      </c>
      <c r="C47" s="8" t="s">
        <v>11</v>
      </c>
      <c r="D47" s="8" t="s">
        <v>19</v>
      </c>
      <c r="E47" s="8" t="s">
        <v>115</v>
      </c>
      <c r="F47" s="8" t="s">
        <v>20</v>
      </c>
      <c r="G47" s="8" t="s">
        <v>14</v>
      </c>
      <c r="H47" s="8" t="s">
        <v>15</v>
      </c>
      <c r="I47" s="8" t="s">
        <v>21</v>
      </c>
      <c r="J47" s="25"/>
      <c r="K47" s="12" t="s">
        <v>22</v>
      </c>
      <c r="L47" s="12">
        <v>0.13982149999999999</v>
      </c>
      <c r="M47" s="12">
        <v>0.27590700000000001</v>
      </c>
      <c r="N47" s="12" t="s">
        <v>22</v>
      </c>
      <c r="O47" s="12" t="s">
        <v>22</v>
      </c>
      <c r="P47" s="12">
        <v>0.74817</v>
      </c>
      <c r="Q47" s="13">
        <v>0.225996</v>
      </c>
      <c r="R47" s="13">
        <v>0.1987795</v>
      </c>
      <c r="S47" s="13">
        <v>9.9956500000000004E-2</v>
      </c>
      <c r="T47" s="13">
        <v>0.18117449999999999</v>
      </c>
      <c r="U47" s="13">
        <v>0.1060615</v>
      </c>
      <c r="V47" s="13" t="s">
        <v>22</v>
      </c>
      <c r="W47" s="12">
        <v>0.14931700000000001</v>
      </c>
      <c r="X47" s="12" t="s">
        <v>22</v>
      </c>
      <c r="Y47" s="12">
        <v>0.2892885</v>
      </c>
      <c r="Z47" s="12">
        <v>0.10122349999999999</v>
      </c>
      <c r="AA47" s="12">
        <v>0.160583</v>
      </c>
      <c r="AB47" s="12" t="s">
        <v>22</v>
      </c>
      <c r="AC47" s="23"/>
      <c r="AD47" s="20"/>
    </row>
    <row r="48" spans="1:36" ht="16" x14ac:dyDescent="0.2">
      <c r="A48" s="7" t="s">
        <v>116</v>
      </c>
      <c r="B48" s="1" t="s">
        <v>117</v>
      </c>
      <c r="C48" s="8" t="s">
        <v>11</v>
      </c>
      <c r="D48" s="8" t="s">
        <v>118</v>
      </c>
      <c r="E48" s="8" t="s">
        <v>118</v>
      </c>
      <c r="F48" s="8" t="s">
        <v>119</v>
      </c>
      <c r="G48" s="8" t="s">
        <v>14</v>
      </c>
      <c r="H48" s="8" t="s">
        <v>15</v>
      </c>
      <c r="I48" s="8" t="s">
        <v>120</v>
      </c>
      <c r="J48" s="25" t="s">
        <v>255</v>
      </c>
      <c r="K48" s="32">
        <v>0.2867075</v>
      </c>
      <c r="L48" s="11">
        <f>(MEDIAN(K48,M48,O48,P48))</f>
        <v>0.70153050000000006</v>
      </c>
      <c r="M48" s="32">
        <v>0.38172600000000001</v>
      </c>
      <c r="N48" s="11">
        <f>(MEDIAN(K48,M48,O48,P48))</f>
        <v>0.70153050000000006</v>
      </c>
      <c r="O48" s="32">
        <v>1.0213350000000001</v>
      </c>
      <c r="P48" s="32">
        <v>3.3191250000000001</v>
      </c>
      <c r="Q48" s="33">
        <f>(MEDIAN(R48,S48,T48,V48))</f>
        <v>1.0411950000000001</v>
      </c>
      <c r="R48" s="34">
        <v>1.5546850000000001</v>
      </c>
      <c r="S48" s="34">
        <v>1.5203</v>
      </c>
      <c r="T48" s="34">
        <v>0.56208999999999998</v>
      </c>
      <c r="U48" s="33">
        <f>(MEDIAN(R48,S48,T48,V48))</f>
        <v>1.0411950000000001</v>
      </c>
      <c r="V48" s="34">
        <v>0.54723500000000003</v>
      </c>
      <c r="W48" s="32">
        <v>1.5347850000000001</v>
      </c>
      <c r="X48" s="32">
        <v>1.9681949999999999</v>
      </c>
      <c r="Y48" s="32">
        <v>0.58431999999999995</v>
      </c>
      <c r="Z48" s="32">
        <v>0.35651850000000002</v>
      </c>
      <c r="AA48" s="11">
        <f>(MEDIAN(W48,Z48,Y48,X48))</f>
        <v>1.0595525000000001</v>
      </c>
      <c r="AB48" s="31">
        <f>(MEDIAN(W48,Z48,Y48,X48))</f>
        <v>1.0595525000000001</v>
      </c>
      <c r="AC48" s="23">
        <f>_xlfn.T.TEST(K48:P48,Q48:V48,1,2)</f>
        <v>0.48102406513572482</v>
      </c>
      <c r="AD48" s="20">
        <f t="shared" ref="AD48" si="5">_xlfn.T.TEST(Q48:V48,W48:AB48,1,2)</f>
        <v>0.43664292163221169</v>
      </c>
    </row>
    <row r="49" spans="1:30" ht="16" x14ac:dyDescent="0.2">
      <c r="A49" s="7" t="s">
        <v>121</v>
      </c>
      <c r="B49" s="1" t="s">
        <v>122</v>
      </c>
      <c r="C49" s="8" t="s">
        <v>11</v>
      </c>
      <c r="D49" s="8" t="s">
        <v>27</v>
      </c>
      <c r="E49" s="8" t="s">
        <v>27</v>
      </c>
      <c r="F49" s="8" t="s">
        <v>29</v>
      </c>
      <c r="G49" s="8" t="s">
        <v>14</v>
      </c>
      <c r="H49" s="8" t="s">
        <v>15</v>
      </c>
      <c r="I49" s="8" t="s">
        <v>30</v>
      </c>
      <c r="J49" s="25" t="s">
        <v>255</v>
      </c>
      <c r="K49" s="10">
        <v>13.9397</v>
      </c>
      <c r="L49" s="10">
        <v>15.758900000000001</v>
      </c>
      <c r="M49" s="10">
        <v>2.32707</v>
      </c>
      <c r="N49" s="11">
        <v>12.10655</v>
      </c>
      <c r="O49" s="11">
        <v>12.10655</v>
      </c>
      <c r="P49" s="10">
        <v>10.273400000000001</v>
      </c>
      <c r="Q49" s="9">
        <v>3.1860949999999999</v>
      </c>
      <c r="R49" s="9">
        <v>5.0044000000000004</v>
      </c>
      <c r="S49" s="9">
        <v>3.812465</v>
      </c>
      <c r="T49" s="9">
        <v>3.4366150000000002</v>
      </c>
      <c r="U49" s="9">
        <v>1.7325550000000001</v>
      </c>
      <c r="V49" s="14">
        <v>3.4366150000000002</v>
      </c>
      <c r="W49" s="10">
        <v>9.3462999999999994</v>
      </c>
      <c r="X49" s="11">
        <v>6.8281499999999999</v>
      </c>
      <c r="Y49" s="10">
        <v>14.7105</v>
      </c>
      <c r="Z49" s="10">
        <v>6.8281499999999999</v>
      </c>
      <c r="AA49" s="10">
        <v>6.1676000000000002</v>
      </c>
      <c r="AB49" s="10">
        <v>6.7538999999999998</v>
      </c>
      <c r="AC49" s="27">
        <f>_xlfn.T.TEST(K49:P49,Q49:V49,1,2)</f>
        <v>1.4627346669932404E-3</v>
      </c>
      <c r="AD49" s="26">
        <f t="shared" si="1"/>
        <v>2.5428216982458234E-3</v>
      </c>
    </row>
    <row r="50" spans="1:30" ht="16" x14ac:dyDescent="0.2">
      <c r="A50" s="7" t="s">
        <v>123</v>
      </c>
      <c r="B50" s="1" t="s">
        <v>124</v>
      </c>
      <c r="C50" s="8" t="s">
        <v>11</v>
      </c>
      <c r="D50" s="8" t="s">
        <v>27</v>
      </c>
      <c r="E50" s="8" t="s">
        <v>27</v>
      </c>
      <c r="F50" s="8" t="s">
        <v>29</v>
      </c>
      <c r="G50" s="8" t="s">
        <v>14</v>
      </c>
      <c r="H50" s="8" t="s">
        <v>15</v>
      </c>
      <c r="I50" s="8" t="s">
        <v>30</v>
      </c>
      <c r="J50" s="25" t="s">
        <v>255</v>
      </c>
      <c r="K50" s="10">
        <v>80.731499999999997</v>
      </c>
      <c r="L50" s="10">
        <v>113.532</v>
      </c>
      <c r="M50" s="10">
        <v>17.798300000000001</v>
      </c>
      <c r="N50" s="10">
        <v>14.0806</v>
      </c>
      <c r="O50" s="10">
        <v>4.8447100000000001</v>
      </c>
      <c r="P50" s="10">
        <v>10.983650000000001</v>
      </c>
      <c r="Q50" s="9">
        <v>6.0123499999999996</v>
      </c>
      <c r="R50" s="9">
        <v>40.34695</v>
      </c>
      <c r="S50" s="9">
        <v>22.746300000000002</v>
      </c>
      <c r="T50" s="9">
        <v>15.339</v>
      </c>
      <c r="U50" s="9">
        <v>7.2274500000000002</v>
      </c>
      <c r="V50" s="9">
        <v>5.51485</v>
      </c>
      <c r="W50" s="10">
        <v>76.528999999999996</v>
      </c>
      <c r="X50" s="10">
        <v>26.1938</v>
      </c>
      <c r="Y50" s="10">
        <v>229.84299999999999</v>
      </c>
      <c r="Z50" s="10">
        <v>10.5054</v>
      </c>
      <c r="AA50" s="10">
        <v>84.177499999999995</v>
      </c>
      <c r="AB50" s="10">
        <v>7.6901000000000002</v>
      </c>
      <c r="AC50" s="23">
        <f>_xlfn.T.TEST(K50:P50,Q50:V50,1,2)</f>
        <v>0.12039960131133309</v>
      </c>
      <c r="AD50" s="18">
        <f t="shared" si="1"/>
        <v>6.7665507343585063E-2</v>
      </c>
    </row>
    <row r="51" spans="1:30" ht="16" x14ac:dyDescent="0.2">
      <c r="A51" s="7" t="s">
        <v>125</v>
      </c>
      <c r="B51" s="1" t="s">
        <v>126</v>
      </c>
      <c r="C51" s="8" t="s">
        <v>11</v>
      </c>
      <c r="D51" s="8" t="s">
        <v>27</v>
      </c>
      <c r="E51" s="8" t="s">
        <v>27</v>
      </c>
      <c r="F51" s="8" t="s">
        <v>29</v>
      </c>
      <c r="G51" s="8" t="s">
        <v>14</v>
      </c>
      <c r="H51" s="8" t="s">
        <v>15</v>
      </c>
      <c r="I51" s="8" t="s">
        <v>30</v>
      </c>
      <c r="J51" s="25" t="s">
        <v>255</v>
      </c>
      <c r="K51" s="10">
        <v>57.161000000000001</v>
      </c>
      <c r="L51" s="10">
        <v>31.725449999999999</v>
      </c>
      <c r="M51" s="10">
        <v>28.2958</v>
      </c>
      <c r="N51" s="10">
        <v>19.464300000000001</v>
      </c>
      <c r="O51" s="10">
        <v>16.965800000000002</v>
      </c>
      <c r="P51" s="10">
        <v>27.218150000000001</v>
      </c>
      <c r="Q51" s="9">
        <v>14.8712</v>
      </c>
      <c r="R51" s="9">
        <v>29.125250000000001</v>
      </c>
      <c r="S51" s="9">
        <v>29.7897</v>
      </c>
      <c r="T51" s="9">
        <v>32.721049999999998</v>
      </c>
      <c r="U51" s="9">
        <v>19.838699999999999</v>
      </c>
      <c r="V51" s="9">
        <v>21.058399999999999</v>
      </c>
      <c r="W51" s="10">
        <v>61.551000000000002</v>
      </c>
      <c r="X51" s="10">
        <v>19.684000000000001</v>
      </c>
      <c r="Y51" s="10">
        <v>52.210500000000003</v>
      </c>
      <c r="Z51" s="10">
        <v>26.787199999999999</v>
      </c>
      <c r="AA51" s="10">
        <v>27.3795</v>
      </c>
      <c r="AB51" s="10">
        <v>19.699349999999999</v>
      </c>
      <c r="AC51" s="23">
        <f>_xlfn.T.TEST(K51:P51,Q51:V51,1,2)</f>
        <v>0.20642983219036692</v>
      </c>
      <c r="AD51" s="20">
        <f t="shared" si="1"/>
        <v>0.11542848649753944</v>
      </c>
    </row>
    <row r="52" spans="1:30" ht="16" x14ac:dyDescent="0.2">
      <c r="A52" s="7" t="s">
        <v>139</v>
      </c>
      <c r="B52" s="1" t="s">
        <v>140</v>
      </c>
      <c r="C52" s="8" t="s">
        <v>11</v>
      </c>
      <c r="D52" s="8" t="s">
        <v>12</v>
      </c>
      <c r="E52" s="8" t="s">
        <v>12</v>
      </c>
      <c r="F52" s="8" t="s">
        <v>13</v>
      </c>
      <c r="G52" s="8" t="s">
        <v>14</v>
      </c>
      <c r="H52" s="8" t="s">
        <v>15</v>
      </c>
      <c r="I52" s="8" t="s">
        <v>16</v>
      </c>
      <c r="J52" s="25" t="s">
        <v>255</v>
      </c>
      <c r="K52" s="10">
        <v>2.5907499999999999</v>
      </c>
      <c r="L52" s="10">
        <v>7.1839500000000003</v>
      </c>
      <c r="M52" s="10">
        <v>6.1672500000000001</v>
      </c>
      <c r="N52" s="10">
        <v>1.961635</v>
      </c>
      <c r="O52" s="11">
        <v>4.9964550000000001</v>
      </c>
      <c r="P52" s="10">
        <v>4.9964550000000001</v>
      </c>
      <c r="Q52" s="9">
        <v>0.77595000000000003</v>
      </c>
      <c r="R52" s="9">
        <v>4.8786800000000001</v>
      </c>
      <c r="S52" s="9">
        <v>2.70438</v>
      </c>
      <c r="T52" s="9">
        <v>1.8628150000000001</v>
      </c>
      <c r="U52" s="9">
        <v>0.90397000000000005</v>
      </c>
      <c r="V52" s="9">
        <v>0.84919500000000003</v>
      </c>
      <c r="W52" s="10">
        <v>5.7060500000000003</v>
      </c>
      <c r="X52" s="10">
        <v>1.5523</v>
      </c>
      <c r="Y52" s="10">
        <v>65.739999999999995</v>
      </c>
      <c r="Z52" s="10">
        <v>1.3105</v>
      </c>
      <c r="AA52" s="10">
        <v>4.8718300000000001</v>
      </c>
      <c r="AB52" s="10">
        <v>2.3418999999999999</v>
      </c>
      <c r="AC52" s="27">
        <f>_xlfn.T.TEST(K52:P52,Q52:V52,1,2)</f>
        <v>1.518533319387841E-2</v>
      </c>
      <c r="AD52" s="20">
        <f t="shared" si="1"/>
        <v>0.14723190199215039</v>
      </c>
    </row>
    <row r="53" spans="1:30" ht="16" x14ac:dyDescent="0.2">
      <c r="A53" s="7" t="s">
        <v>141</v>
      </c>
      <c r="B53" s="1" t="s">
        <v>142</v>
      </c>
      <c r="C53" s="8" t="s">
        <v>11</v>
      </c>
      <c r="D53" s="8" t="s">
        <v>84</v>
      </c>
      <c r="E53" s="8" t="s">
        <v>84</v>
      </c>
      <c r="F53" s="8" t="s">
        <v>85</v>
      </c>
      <c r="G53" s="8" t="s">
        <v>14</v>
      </c>
      <c r="H53" s="8" t="s">
        <v>15</v>
      </c>
      <c r="I53" s="8" t="s">
        <v>35</v>
      </c>
      <c r="J53" s="25"/>
      <c r="K53" s="12" t="s">
        <v>22</v>
      </c>
      <c r="L53" s="12" t="s">
        <v>22</v>
      </c>
      <c r="M53" s="12" t="s">
        <v>22</v>
      </c>
      <c r="N53" s="12" t="s">
        <v>22</v>
      </c>
      <c r="O53" s="12" t="s">
        <v>22</v>
      </c>
      <c r="P53" s="12" t="s">
        <v>22</v>
      </c>
      <c r="Q53" s="13" t="s">
        <v>22</v>
      </c>
      <c r="R53" s="13" t="s">
        <v>22</v>
      </c>
      <c r="S53" s="13" t="s">
        <v>22</v>
      </c>
      <c r="T53" s="13" t="s">
        <v>22</v>
      </c>
      <c r="U53" s="13" t="s">
        <v>22</v>
      </c>
      <c r="V53" s="13" t="s">
        <v>22</v>
      </c>
      <c r="W53" s="12" t="s">
        <v>22</v>
      </c>
      <c r="X53" s="12" t="s">
        <v>22</v>
      </c>
      <c r="Y53" s="12" t="s">
        <v>22</v>
      </c>
      <c r="Z53" s="12" t="s">
        <v>22</v>
      </c>
      <c r="AA53" s="12" t="s">
        <v>22</v>
      </c>
      <c r="AB53" s="12" t="s">
        <v>22</v>
      </c>
      <c r="AC53" s="23"/>
      <c r="AD53" s="20"/>
    </row>
    <row r="54" spans="1:30" ht="16" x14ac:dyDescent="0.2">
      <c r="A54" s="7" t="s">
        <v>143</v>
      </c>
      <c r="B54" s="1" t="s">
        <v>144</v>
      </c>
      <c r="C54" s="8" t="s">
        <v>11</v>
      </c>
      <c r="D54" s="8" t="s">
        <v>145</v>
      </c>
      <c r="E54" s="8" t="s">
        <v>145</v>
      </c>
      <c r="F54" s="8" t="s">
        <v>146</v>
      </c>
      <c r="G54" s="8" t="s">
        <v>14</v>
      </c>
      <c r="H54" s="8" t="s">
        <v>15</v>
      </c>
      <c r="I54" s="8" t="s">
        <v>30</v>
      </c>
      <c r="J54" s="25" t="s">
        <v>255</v>
      </c>
      <c r="K54" s="10">
        <v>8.0735499999999991</v>
      </c>
      <c r="L54" s="10">
        <v>23.048549999999999</v>
      </c>
      <c r="M54" s="10">
        <v>26.91705</v>
      </c>
      <c r="N54" s="10">
        <v>7.4431500000000002</v>
      </c>
      <c r="O54" s="11">
        <v>20.5105</v>
      </c>
      <c r="P54" s="10">
        <v>20.5105</v>
      </c>
      <c r="Q54" s="9">
        <v>3.523695</v>
      </c>
      <c r="R54" s="9">
        <v>6.4503500000000003</v>
      </c>
      <c r="S54" s="9">
        <v>7.3141499999999997</v>
      </c>
      <c r="T54" s="9">
        <v>14.35755</v>
      </c>
      <c r="U54" s="9">
        <v>7.7101499999999996</v>
      </c>
      <c r="V54" s="9">
        <v>5.9770000000000003</v>
      </c>
      <c r="W54" s="10">
        <v>29.8507</v>
      </c>
      <c r="X54" s="10">
        <v>9.8554499999999994</v>
      </c>
      <c r="Y54" s="10">
        <v>15.3751</v>
      </c>
      <c r="Z54" s="10">
        <v>12.963200000000001</v>
      </c>
      <c r="AA54" s="10">
        <v>33.750050000000002</v>
      </c>
      <c r="AB54" s="10">
        <v>41.843649999999997</v>
      </c>
      <c r="AC54" s="27">
        <f>_xlfn.T.TEST(K54:P54,Q54:V54,1,2)</f>
        <v>9.1604473086974898E-3</v>
      </c>
      <c r="AD54" s="26">
        <f t="shared" si="1"/>
        <v>6.9698387604525767E-3</v>
      </c>
    </row>
    <row r="55" spans="1:30" ht="16" x14ac:dyDescent="0.2">
      <c r="A55" s="7" t="s">
        <v>152</v>
      </c>
      <c r="B55" s="1" t="s">
        <v>153</v>
      </c>
      <c r="C55" s="8" t="s">
        <v>11</v>
      </c>
      <c r="D55" s="8" t="s">
        <v>27</v>
      </c>
      <c r="E55" s="8" t="s">
        <v>27</v>
      </c>
      <c r="F55" s="8" t="s">
        <v>29</v>
      </c>
      <c r="G55" s="8" t="s">
        <v>14</v>
      </c>
      <c r="H55" s="8" t="s">
        <v>15</v>
      </c>
      <c r="I55" s="8" t="s">
        <v>30</v>
      </c>
      <c r="J55" s="25" t="s">
        <v>255</v>
      </c>
      <c r="K55" s="10">
        <v>11.43205</v>
      </c>
      <c r="L55" s="10">
        <v>12.965999999999999</v>
      </c>
      <c r="M55" s="10">
        <v>9.0703999999999994</v>
      </c>
      <c r="N55" s="10">
        <v>2.1599200000000001</v>
      </c>
      <c r="O55" s="11">
        <v>11.43205</v>
      </c>
      <c r="P55" s="10">
        <v>62.4465</v>
      </c>
      <c r="Q55" s="9">
        <v>1.9817149999999999</v>
      </c>
      <c r="R55" s="9">
        <v>11.839</v>
      </c>
      <c r="S55" s="9">
        <v>10.6959</v>
      </c>
      <c r="T55" s="9">
        <v>5.0401999999999996</v>
      </c>
      <c r="U55" s="9">
        <v>1.1785000000000001</v>
      </c>
      <c r="V55" s="9">
        <v>0.3758975</v>
      </c>
      <c r="W55" s="10">
        <v>89.585999999999999</v>
      </c>
      <c r="X55" s="10">
        <v>2.2267549999999998</v>
      </c>
      <c r="Y55" s="10">
        <v>79.793000000000006</v>
      </c>
      <c r="Z55" s="10">
        <v>5.4479499999999996</v>
      </c>
      <c r="AA55" s="10">
        <v>11.146750000000001</v>
      </c>
      <c r="AB55" s="10">
        <v>3.0418799999999999</v>
      </c>
      <c r="AC55" s="22">
        <f>_xlfn.T.TEST(K55:P55,Q55:V55,1,2)</f>
        <v>9.3072387543412516E-2</v>
      </c>
      <c r="AD55" s="18">
        <f t="shared" si="1"/>
        <v>7.2905257132881304E-2</v>
      </c>
    </row>
    <row r="56" spans="1:30" ht="16" x14ac:dyDescent="0.2">
      <c r="A56" s="7" t="s">
        <v>154</v>
      </c>
      <c r="B56" s="1" t="s">
        <v>155</v>
      </c>
      <c r="C56" s="8" t="s">
        <v>11</v>
      </c>
      <c r="D56" s="8" t="s">
        <v>156</v>
      </c>
      <c r="E56" s="8" t="s">
        <v>156</v>
      </c>
      <c r="F56" s="8" t="s">
        <v>157</v>
      </c>
      <c r="G56" s="8" t="s">
        <v>14</v>
      </c>
      <c r="H56" s="8" t="s">
        <v>15</v>
      </c>
      <c r="I56" s="8" t="s">
        <v>158</v>
      </c>
      <c r="J56" s="25" t="s">
        <v>255</v>
      </c>
      <c r="K56" s="10">
        <v>63.272500000000001</v>
      </c>
      <c r="L56" s="10">
        <v>83.835999999999999</v>
      </c>
      <c r="M56" s="10">
        <v>4.7195150000000003</v>
      </c>
      <c r="N56" s="10">
        <v>75.027500000000003</v>
      </c>
      <c r="O56" s="10">
        <v>1.38185</v>
      </c>
      <c r="P56" s="10">
        <v>53.148499999999999</v>
      </c>
      <c r="Q56" s="9">
        <v>25.272649999999999</v>
      </c>
      <c r="R56" s="9">
        <v>35.823749999999997</v>
      </c>
      <c r="S56" s="9">
        <v>3.1014650000000001</v>
      </c>
      <c r="T56" s="9">
        <v>61.741500000000002</v>
      </c>
      <c r="U56" s="9">
        <v>3.7669950000000001</v>
      </c>
      <c r="V56" s="9">
        <v>0.92376000000000003</v>
      </c>
      <c r="W56" s="10">
        <v>45.581800000000001</v>
      </c>
      <c r="X56" s="10">
        <v>1.2843249999999999</v>
      </c>
      <c r="Y56" s="10">
        <v>32.632550000000002</v>
      </c>
      <c r="Z56" s="10">
        <v>46.709499999999998</v>
      </c>
      <c r="AA56" s="10">
        <v>127.66549999999999</v>
      </c>
      <c r="AB56" s="10">
        <v>10.85815</v>
      </c>
      <c r="AC56" s="22">
        <f>_xlfn.T.TEST(K56:P56,Q56:V56,1,2)</f>
        <v>9.1242660727870628E-2</v>
      </c>
      <c r="AD56" s="20">
        <f t="shared" si="1"/>
        <v>0.15389033086914447</v>
      </c>
    </row>
    <row r="57" spans="1:30" ht="16" x14ac:dyDescent="0.2">
      <c r="A57" s="7" t="s">
        <v>161</v>
      </c>
      <c r="B57" s="1" t="s">
        <v>162</v>
      </c>
      <c r="C57" s="8" t="s">
        <v>163</v>
      </c>
      <c r="D57" s="8" t="s">
        <v>164</v>
      </c>
      <c r="E57" s="8" t="s">
        <v>164</v>
      </c>
      <c r="F57" s="8" t="s">
        <v>165</v>
      </c>
      <c r="G57" s="8" t="s">
        <v>14</v>
      </c>
      <c r="H57" s="8" t="s">
        <v>15</v>
      </c>
      <c r="I57" s="8" t="s">
        <v>166</v>
      </c>
      <c r="J57" s="25"/>
      <c r="K57" s="12" t="s">
        <v>22</v>
      </c>
      <c r="L57" s="12" t="s">
        <v>22</v>
      </c>
      <c r="M57" s="12" t="s">
        <v>22</v>
      </c>
      <c r="N57" s="12" t="s">
        <v>22</v>
      </c>
      <c r="O57" s="12" t="s">
        <v>22</v>
      </c>
      <c r="P57" s="12" t="s">
        <v>22</v>
      </c>
      <c r="Q57" s="13" t="s">
        <v>22</v>
      </c>
      <c r="R57" s="13" t="s">
        <v>22</v>
      </c>
      <c r="S57" s="13" t="s">
        <v>22</v>
      </c>
      <c r="T57" s="13" t="s">
        <v>22</v>
      </c>
      <c r="U57" s="13" t="s">
        <v>22</v>
      </c>
      <c r="V57" s="13" t="s">
        <v>22</v>
      </c>
      <c r="W57" s="12" t="s">
        <v>22</v>
      </c>
      <c r="X57" s="12" t="s">
        <v>22</v>
      </c>
      <c r="Y57" s="12" t="s">
        <v>22</v>
      </c>
      <c r="Z57" s="12" t="s">
        <v>22</v>
      </c>
      <c r="AA57" s="12" t="s">
        <v>22</v>
      </c>
      <c r="AB57" s="12" t="s">
        <v>22</v>
      </c>
      <c r="AC57" s="23"/>
      <c r="AD57" s="20"/>
    </row>
    <row r="58" spans="1:30" ht="16" x14ac:dyDescent="0.2">
      <c r="A58" s="7" t="s">
        <v>178</v>
      </c>
      <c r="B58" s="1" t="s">
        <v>179</v>
      </c>
      <c r="C58" s="8" t="s">
        <v>169</v>
      </c>
      <c r="D58" s="8" t="s">
        <v>180</v>
      </c>
      <c r="E58" s="8" t="s">
        <v>181</v>
      </c>
      <c r="F58" s="8" t="s">
        <v>182</v>
      </c>
      <c r="G58" s="8" t="s">
        <v>14</v>
      </c>
      <c r="H58" s="8" t="s">
        <v>15</v>
      </c>
      <c r="I58" s="8" t="s">
        <v>183</v>
      </c>
      <c r="J58" s="25"/>
      <c r="K58" s="12" t="s">
        <v>22</v>
      </c>
      <c r="L58" s="12" t="s">
        <v>22</v>
      </c>
      <c r="M58" s="12" t="s">
        <v>22</v>
      </c>
      <c r="N58" s="12" t="s">
        <v>22</v>
      </c>
      <c r="O58" s="12" t="s">
        <v>22</v>
      </c>
      <c r="P58" s="12" t="s">
        <v>22</v>
      </c>
      <c r="Q58" s="13" t="s">
        <v>22</v>
      </c>
      <c r="R58" s="13" t="s">
        <v>22</v>
      </c>
      <c r="S58" s="13" t="s">
        <v>22</v>
      </c>
      <c r="T58" s="13" t="s">
        <v>22</v>
      </c>
      <c r="U58" s="13" t="s">
        <v>22</v>
      </c>
      <c r="V58" s="13" t="s">
        <v>22</v>
      </c>
      <c r="W58" s="12" t="s">
        <v>22</v>
      </c>
      <c r="X58" s="12" t="s">
        <v>22</v>
      </c>
      <c r="Y58" s="12" t="s">
        <v>22</v>
      </c>
      <c r="Z58" s="12" t="s">
        <v>22</v>
      </c>
      <c r="AA58" s="12" t="s">
        <v>22</v>
      </c>
      <c r="AB58" s="12" t="s">
        <v>22</v>
      </c>
      <c r="AC58" s="23"/>
      <c r="AD58" s="20"/>
    </row>
    <row r="59" spans="1:30" ht="16" x14ac:dyDescent="0.2">
      <c r="A59" s="7" t="s">
        <v>191</v>
      </c>
      <c r="B59" s="1" t="s">
        <v>192</v>
      </c>
      <c r="C59" s="8" t="s">
        <v>169</v>
      </c>
      <c r="D59" s="8" t="s">
        <v>193</v>
      </c>
      <c r="E59" s="8" t="s">
        <v>194</v>
      </c>
      <c r="F59" s="8" t="s">
        <v>195</v>
      </c>
      <c r="G59" s="8" t="s">
        <v>14</v>
      </c>
      <c r="H59" s="8" t="s">
        <v>15</v>
      </c>
      <c r="I59" s="8" t="s">
        <v>196</v>
      </c>
      <c r="J59" s="25"/>
      <c r="K59" s="12" t="s">
        <v>22</v>
      </c>
      <c r="L59" s="12" t="s">
        <v>22</v>
      </c>
      <c r="M59" s="12" t="s">
        <v>22</v>
      </c>
      <c r="N59" s="12" t="s">
        <v>22</v>
      </c>
      <c r="O59" s="12" t="s">
        <v>22</v>
      </c>
      <c r="P59" s="12" t="s">
        <v>22</v>
      </c>
      <c r="Q59" s="13" t="s">
        <v>22</v>
      </c>
      <c r="R59" s="13" t="s">
        <v>22</v>
      </c>
      <c r="S59" s="13" t="s">
        <v>22</v>
      </c>
      <c r="T59" s="13" t="s">
        <v>22</v>
      </c>
      <c r="U59" s="13" t="s">
        <v>22</v>
      </c>
      <c r="V59" s="13" t="s">
        <v>22</v>
      </c>
      <c r="W59" s="12" t="s">
        <v>22</v>
      </c>
      <c r="X59" s="12" t="s">
        <v>22</v>
      </c>
      <c r="Y59" s="12" t="s">
        <v>22</v>
      </c>
      <c r="Z59" s="12" t="s">
        <v>22</v>
      </c>
      <c r="AA59" s="12" t="s">
        <v>22</v>
      </c>
      <c r="AB59" s="12" t="s">
        <v>22</v>
      </c>
      <c r="AC59" s="23"/>
      <c r="AD59" s="20"/>
    </row>
    <row r="60" spans="1:30" ht="16" x14ac:dyDescent="0.2">
      <c r="A60" s="7" t="s">
        <v>197</v>
      </c>
      <c r="B60" s="1" t="s">
        <v>198</v>
      </c>
      <c r="C60" s="8" t="s">
        <v>169</v>
      </c>
      <c r="D60" s="8" t="s">
        <v>170</v>
      </c>
      <c r="E60" s="8" t="s">
        <v>171</v>
      </c>
      <c r="F60" s="8" t="s">
        <v>172</v>
      </c>
      <c r="G60" s="8" t="s">
        <v>14</v>
      </c>
      <c r="H60" s="8" t="s">
        <v>15</v>
      </c>
      <c r="I60" s="8" t="s">
        <v>40</v>
      </c>
      <c r="J60" s="25"/>
      <c r="K60" s="12" t="s">
        <v>22</v>
      </c>
      <c r="L60" s="12" t="s">
        <v>22</v>
      </c>
      <c r="M60" s="12" t="s">
        <v>22</v>
      </c>
      <c r="N60" s="12" t="s">
        <v>22</v>
      </c>
      <c r="O60" s="12" t="s">
        <v>22</v>
      </c>
      <c r="P60" s="12" t="s">
        <v>22</v>
      </c>
      <c r="Q60" s="13" t="s">
        <v>22</v>
      </c>
      <c r="R60" s="13" t="s">
        <v>22</v>
      </c>
      <c r="S60" s="13" t="s">
        <v>22</v>
      </c>
      <c r="T60" s="13" t="s">
        <v>22</v>
      </c>
      <c r="U60" s="13" t="s">
        <v>22</v>
      </c>
      <c r="V60" s="13" t="s">
        <v>22</v>
      </c>
      <c r="W60" s="12" t="s">
        <v>22</v>
      </c>
      <c r="X60" s="12" t="s">
        <v>22</v>
      </c>
      <c r="Y60" s="12" t="s">
        <v>22</v>
      </c>
      <c r="Z60" s="12" t="s">
        <v>22</v>
      </c>
      <c r="AA60" s="12" t="s">
        <v>22</v>
      </c>
      <c r="AB60" s="12" t="s">
        <v>22</v>
      </c>
      <c r="AC60" s="23"/>
      <c r="AD60" s="20"/>
    </row>
    <row r="61" spans="1:30" ht="16" x14ac:dyDescent="0.2">
      <c r="A61" s="7" t="s">
        <v>208</v>
      </c>
      <c r="B61" s="1" t="s">
        <v>209</v>
      </c>
      <c r="C61" s="8" t="s">
        <v>203</v>
      </c>
      <c r="D61" s="8" t="s">
        <v>210</v>
      </c>
      <c r="E61" s="8" t="s">
        <v>210</v>
      </c>
      <c r="F61" s="8" t="s">
        <v>211</v>
      </c>
      <c r="G61" s="8" t="s">
        <v>14</v>
      </c>
      <c r="H61" s="8" t="s">
        <v>15</v>
      </c>
      <c r="I61" s="8" t="s">
        <v>212</v>
      </c>
      <c r="J61" s="25"/>
      <c r="K61" s="12" t="s">
        <v>22</v>
      </c>
      <c r="L61" s="12" t="s">
        <v>22</v>
      </c>
      <c r="M61" s="12" t="s">
        <v>22</v>
      </c>
      <c r="N61" s="12" t="s">
        <v>22</v>
      </c>
      <c r="O61" s="12" t="s">
        <v>22</v>
      </c>
      <c r="P61" s="12">
        <v>154.98400000000001</v>
      </c>
      <c r="Q61" s="13" t="s">
        <v>22</v>
      </c>
      <c r="R61" s="13" t="s">
        <v>22</v>
      </c>
      <c r="S61" s="13" t="s">
        <v>22</v>
      </c>
      <c r="T61" s="13" t="s">
        <v>22</v>
      </c>
      <c r="U61" s="13" t="s">
        <v>22</v>
      </c>
      <c r="V61" s="13" t="s">
        <v>22</v>
      </c>
      <c r="W61" s="12">
        <v>30.59395</v>
      </c>
      <c r="X61" s="12" t="s">
        <v>22</v>
      </c>
      <c r="Y61" s="12">
        <v>8.2296499999999995</v>
      </c>
      <c r="Z61" s="12" t="s">
        <v>22</v>
      </c>
      <c r="AA61" s="12" t="s">
        <v>22</v>
      </c>
      <c r="AB61" s="12" t="s">
        <v>22</v>
      </c>
      <c r="AC61" s="23"/>
      <c r="AD61" s="20"/>
    </row>
    <row r="62" spans="1:30" ht="16" x14ac:dyDescent="0.2">
      <c r="A62" s="7" t="s">
        <v>232</v>
      </c>
      <c r="B62" s="1" t="s">
        <v>233</v>
      </c>
      <c r="C62" s="8" t="s">
        <v>203</v>
      </c>
      <c r="D62" s="8" t="s">
        <v>221</v>
      </c>
      <c r="E62" s="8" t="s">
        <v>222</v>
      </c>
      <c r="F62" s="8" t="s">
        <v>223</v>
      </c>
      <c r="G62" s="8" t="s">
        <v>14</v>
      </c>
      <c r="H62" s="8" t="s">
        <v>15</v>
      </c>
      <c r="I62" s="8" t="s">
        <v>224</v>
      </c>
      <c r="J62" s="25" t="s">
        <v>255</v>
      </c>
      <c r="K62" s="10">
        <v>6.3483999999999998</v>
      </c>
      <c r="L62" s="10">
        <v>6.0709999999999997</v>
      </c>
      <c r="M62" s="11">
        <v>6.2096999999999998</v>
      </c>
      <c r="N62" s="10">
        <v>4.4637149999999997</v>
      </c>
      <c r="O62" s="11">
        <v>6.2096999999999998</v>
      </c>
      <c r="P62" s="10">
        <v>74.280500000000004</v>
      </c>
      <c r="Q62" s="9">
        <v>5.0693999999999999</v>
      </c>
      <c r="R62" s="9">
        <v>5.3085500000000003</v>
      </c>
      <c r="S62" s="9">
        <v>4.7161200000000001</v>
      </c>
      <c r="T62" s="9">
        <v>12.2676</v>
      </c>
      <c r="U62" s="9">
        <v>4.7007500000000002</v>
      </c>
      <c r="V62" s="14">
        <v>5.0693999999999999</v>
      </c>
      <c r="W62" s="10">
        <v>342.01650000000001</v>
      </c>
      <c r="X62" s="10">
        <v>6.4167500000000004</v>
      </c>
      <c r="Y62" s="10">
        <v>490.25299999999999</v>
      </c>
      <c r="Z62" s="10">
        <v>20.264600000000002</v>
      </c>
      <c r="AA62" s="10">
        <v>39.527250000000002</v>
      </c>
      <c r="AB62" s="11">
        <v>39.527250000000002</v>
      </c>
      <c r="AC62" s="23">
        <f>_xlfn.T.TEST(K62:P62,Q62:V62,1,2)</f>
        <v>0.17855164755521197</v>
      </c>
      <c r="AD62" s="18">
        <f t="shared" si="1"/>
        <v>5.301588052390991E-2</v>
      </c>
    </row>
    <row r="63" spans="1:30" ht="16" x14ac:dyDescent="0.2">
      <c r="A63" s="7" t="s">
        <v>234</v>
      </c>
      <c r="B63" s="1" t="s">
        <v>235</v>
      </c>
      <c r="C63" s="8" t="s">
        <v>203</v>
      </c>
      <c r="D63" s="8" t="s">
        <v>236</v>
      </c>
      <c r="E63" s="8" t="s">
        <v>236</v>
      </c>
      <c r="F63" s="8" t="s">
        <v>237</v>
      </c>
      <c r="G63" s="8" t="s">
        <v>14</v>
      </c>
      <c r="H63" s="8" t="s">
        <v>15</v>
      </c>
      <c r="I63" s="8" t="s">
        <v>231</v>
      </c>
      <c r="J63" s="25" t="s">
        <v>255</v>
      </c>
      <c r="K63" s="10">
        <v>68.859499999999997</v>
      </c>
      <c r="L63" s="10">
        <v>99.394000000000005</v>
      </c>
      <c r="M63" s="10">
        <v>34.701500000000003</v>
      </c>
      <c r="N63" s="10">
        <v>73.134</v>
      </c>
      <c r="O63" s="10">
        <v>23.907699999999998</v>
      </c>
      <c r="P63" s="10">
        <v>499.04050000000001</v>
      </c>
      <c r="Q63" s="9">
        <v>84.761499999999998</v>
      </c>
      <c r="R63" s="9">
        <v>70.112499999999997</v>
      </c>
      <c r="S63" s="9">
        <v>23.327649999999998</v>
      </c>
      <c r="T63" s="9">
        <v>216.00800000000001</v>
      </c>
      <c r="U63" s="9">
        <v>61.536999999999999</v>
      </c>
      <c r="V63" s="9">
        <v>22.389500000000002</v>
      </c>
      <c r="W63" s="10">
        <v>3168.64</v>
      </c>
      <c r="X63" s="10">
        <v>78.217500000000001</v>
      </c>
      <c r="Y63" s="10">
        <v>3690.395</v>
      </c>
      <c r="Z63" s="10">
        <v>327.40300000000002</v>
      </c>
      <c r="AA63" s="10">
        <v>444.13</v>
      </c>
      <c r="AB63" s="10">
        <v>49.099150000000002</v>
      </c>
      <c r="AC63" s="23">
        <f>_xlfn.T.TEST(K63:P63,Q63:V63,1,2)</f>
        <v>0.25831542116992345</v>
      </c>
      <c r="AD63" s="18">
        <f t="shared" si="1"/>
        <v>5.2869902063850407E-2</v>
      </c>
    </row>
    <row r="64" spans="1:30" ht="16" x14ac:dyDescent="0.2">
      <c r="A64" s="7" t="s">
        <v>240</v>
      </c>
      <c r="B64" s="1" t="s">
        <v>241</v>
      </c>
      <c r="C64" s="8" t="s">
        <v>203</v>
      </c>
      <c r="D64" s="8" t="s">
        <v>242</v>
      </c>
      <c r="E64" s="8" t="s">
        <v>242</v>
      </c>
      <c r="F64" s="8" t="s">
        <v>243</v>
      </c>
      <c r="G64" s="8" t="s">
        <v>14</v>
      </c>
      <c r="H64" s="8" t="s">
        <v>15</v>
      </c>
      <c r="I64" s="8" t="s">
        <v>224</v>
      </c>
      <c r="J64" s="25" t="s">
        <v>255</v>
      </c>
      <c r="K64" s="10">
        <v>28.38955</v>
      </c>
      <c r="L64" s="10">
        <v>58.607500000000002</v>
      </c>
      <c r="M64" s="10">
        <v>20.8629</v>
      </c>
      <c r="N64" s="10">
        <v>55.583500000000001</v>
      </c>
      <c r="O64" s="10">
        <v>12.832100000000001</v>
      </c>
      <c r="P64" s="10">
        <v>1022.145</v>
      </c>
      <c r="Q64" s="9">
        <v>441.19749999999999</v>
      </c>
      <c r="R64" s="9">
        <v>79.594499999999996</v>
      </c>
      <c r="S64" s="9">
        <v>27.033999999999999</v>
      </c>
      <c r="T64" s="9">
        <v>434.988</v>
      </c>
      <c r="U64" s="9">
        <v>51.991999999999997</v>
      </c>
      <c r="V64" s="9">
        <v>16.21735</v>
      </c>
      <c r="W64" s="10">
        <v>6169.85</v>
      </c>
      <c r="X64" s="10">
        <v>130.8655</v>
      </c>
      <c r="Y64" s="10">
        <v>8941.85</v>
      </c>
      <c r="Z64" s="10">
        <v>620.86500000000001</v>
      </c>
      <c r="AA64" s="10">
        <v>1286.355</v>
      </c>
      <c r="AB64" s="10">
        <v>46.168300000000002</v>
      </c>
      <c r="AC64" s="22">
        <f>_xlfn.T.TEST(K64:O64,Q64:V64,1,2)</f>
        <v>8.3007446256713191E-2</v>
      </c>
      <c r="AD64" s="18">
        <f t="shared" si="1"/>
        <v>5.5430947311458832E-2</v>
      </c>
    </row>
    <row r="65" spans="1:30" ht="16" x14ac:dyDescent="0.2">
      <c r="A65" s="7" t="s">
        <v>244</v>
      </c>
      <c r="B65" s="1" t="s">
        <v>245</v>
      </c>
      <c r="C65" s="8" t="s">
        <v>203</v>
      </c>
      <c r="D65" s="8" t="s">
        <v>242</v>
      </c>
      <c r="E65" s="8" t="s">
        <v>242</v>
      </c>
      <c r="F65" s="8" t="s">
        <v>243</v>
      </c>
      <c r="G65" s="8" t="s">
        <v>14</v>
      </c>
      <c r="H65" s="8" t="s">
        <v>15</v>
      </c>
      <c r="I65" s="8" t="s">
        <v>224</v>
      </c>
      <c r="J65" s="25" t="s">
        <v>255</v>
      </c>
      <c r="K65" s="10">
        <v>429.20049999999998</v>
      </c>
      <c r="L65" s="10">
        <v>261.54399999999998</v>
      </c>
      <c r="M65" s="10">
        <v>235.7945</v>
      </c>
      <c r="N65" s="10">
        <v>272.10599999999999</v>
      </c>
      <c r="O65" s="10">
        <v>140.36150000000001</v>
      </c>
      <c r="P65" s="10">
        <v>3847.58</v>
      </c>
      <c r="Q65" s="9">
        <v>298.64600000000002</v>
      </c>
      <c r="R65" s="9">
        <v>384.834</v>
      </c>
      <c r="S65" s="9">
        <v>199.26249999999999</v>
      </c>
      <c r="T65" s="9">
        <v>796.46500000000003</v>
      </c>
      <c r="U65" s="9">
        <v>387.09199999999998</v>
      </c>
      <c r="V65" s="9">
        <v>198.16749999999999</v>
      </c>
      <c r="W65" s="10">
        <v>8214.6</v>
      </c>
      <c r="X65" s="10">
        <v>302.47050000000002</v>
      </c>
      <c r="Y65" s="10">
        <v>9393.5</v>
      </c>
      <c r="Z65" s="10">
        <v>1419.845</v>
      </c>
      <c r="AA65" s="10">
        <v>1375.63</v>
      </c>
      <c r="AB65" s="10">
        <v>293.24450000000002</v>
      </c>
      <c r="AC65" s="23">
        <f>_xlfn.T.TEST(K65:O65,Q65:V65,1,2)</f>
        <v>0.169482105627137</v>
      </c>
      <c r="AD65" s="26">
        <f t="shared" si="1"/>
        <v>4.793292783192795E-2</v>
      </c>
    </row>
    <row r="66" spans="1:30" ht="17" thickBot="1" x14ac:dyDescent="0.25">
      <c r="A66" s="7" t="s">
        <v>246</v>
      </c>
      <c r="B66" s="1" t="s">
        <v>247</v>
      </c>
      <c r="C66" s="8" t="s">
        <v>203</v>
      </c>
      <c r="D66" s="8" t="s">
        <v>248</v>
      </c>
      <c r="E66" s="8" t="s">
        <v>249</v>
      </c>
      <c r="F66" s="8" t="s">
        <v>250</v>
      </c>
      <c r="G66" s="8" t="s">
        <v>14</v>
      </c>
      <c r="H66" s="8" t="s">
        <v>15</v>
      </c>
      <c r="I66" s="8" t="s">
        <v>251</v>
      </c>
      <c r="J66" s="25"/>
      <c r="K66" s="12" t="s">
        <v>22</v>
      </c>
      <c r="L66" s="12" t="s">
        <v>22</v>
      </c>
      <c r="M66" s="12" t="s">
        <v>22</v>
      </c>
      <c r="N66" s="12">
        <v>1.788775</v>
      </c>
      <c r="O66" s="12" t="s">
        <v>22</v>
      </c>
      <c r="P66" s="12" t="s">
        <v>22</v>
      </c>
      <c r="Q66" s="13" t="s">
        <v>22</v>
      </c>
      <c r="R66" s="13" t="s">
        <v>22</v>
      </c>
      <c r="S66" s="13" t="s">
        <v>22</v>
      </c>
      <c r="T66" s="13" t="s">
        <v>22</v>
      </c>
      <c r="U66" s="13" t="s">
        <v>22</v>
      </c>
      <c r="V66" s="13" t="s">
        <v>22</v>
      </c>
      <c r="W66" s="12">
        <v>4.9762649999999997</v>
      </c>
      <c r="X66" s="12" t="s">
        <v>22</v>
      </c>
      <c r="Y66" s="12" t="s">
        <v>22</v>
      </c>
      <c r="Z66" s="12" t="s">
        <v>22</v>
      </c>
      <c r="AA66" s="12" t="s">
        <v>22</v>
      </c>
      <c r="AB66" s="12" t="s">
        <v>22</v>
      </c>
      <c r="AC66" s="35"/>
      <c r="AD66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S11 BA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Stephany  Flores-Ramos</cp:lastModifiedBy>
  <dcterms:created xsi:type="dcterms:W3CDTF">2025-04-07T08:47:25Z</dcterms:created>
  <dcterms:modified xsi:type="dcterms:W3CDTF">2025-07-10T01:26:53Z</dcterms:modified>
</cp:coreProperties>
</file>